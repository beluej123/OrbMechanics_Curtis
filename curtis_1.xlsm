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lue\Documents\!Data\Python\01-Astro\OrbitalMechanics\"/>
    </mc:Choice>
  </mc:AlternateContent>
  <xr:revisionPtr revIDLastSave="0" documentId="13_ncr:1_{46BECDC9-7BDC-459D-AB0D-6E93FE32B028}" xr6:coauthVersionLast="47" xr6:coauthVersionMax="47" xr10:uidLastSave="{00000000-0000-0000-0000-000000000000}"/>
  <bookViews>
    <workbookView xWindow="5940" yWindow="2430" windowWidth="21600" windowHeight="12645" activeTab="4" xr2:uid="{7D6F5964-9CF5-412D-A246-0ED15EA0E51F}"/>
  </bookViews>
  <sheets>
    <sheet name="HelpNotes" sheetId="4" r:id="rId1"/>
    <sheet name="WS_Navigation" sheetId="5" r:id="rId2"/>
    <sheet name="SOI" sheetId="1" r:id="rId3"/>
    <sheet name="ephem" sheetId="2" r:id="rId4"/>
    <sheet name="rv2coe" sheetId="6" r:id="rId5"/>
    <sheet name="SolarSysData" sheetId="7" r:id="rId6"/>
  </sheets>
  <externalReferences>
    <externalReference r:id="rId7"/>
    <externalReference r:id="rId8"/>
    <externalReference r:id="rId9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9" i="7" l="1"/>
  <c r="L19" i="7"/>
  <c r="P18" i="7"/>
  <c r="Q18" i="7" s="1"/>
  <c r="R18" i="7" s="1"/>
  <c r="M18" i="7"/>
  <c r="L18" i="7"/>
  <c r="P17" i="7"/>
  <c r="Q17" i="7" s="1"/>
  <c r="R17" i="7" s="1"/>
  <c r="M17" i="7"/>
  <c r="L17" i="7"/>
  <c r="P16" i="7"/>
  <c r="Q16" i="7" s="1"/>
  <c r="R16" i="7" s="1"/>
  <c r="M16" i="7"/>
  <c r="L16" i="7"/>
  <c r="Q15" i="7"/>
  <c r="R15" i="7" s="1"/>
  <c r="P15" i="7"/>
  <c r="M15" i="7"/>
  <c r="L15" i="7"/>
  <c r="P14" i="7"/>
  <c r="Q14" i="7" s="1"/>
  <c r="R14" i="7" s="1"/>
  <c r="M14" i="7"/>
  <c r="L14" i="7"/>
  <c r="P13" i="7"/>
  <c r="O13" i="7"/>
  <c r="Q13" i="7" s="1"/>
  <c r="R13" i="7" s="1"/>
  <c r="M13" i="7"/>
  <c r="L13" i="7"/>
  <c r="P12" i="7"/>
  <c r="Q12" i="7" s="1"/>
  <c r="R12" i="7" s="1"/>
  <c r="M12" i="7"/>
  <c r="L12" i="7"/>
  <c r="R11" i="7"/>
  <c r="Q11" i="7"/>
  <c r="P11" i="7"/>
  <c r="M11" i="7"/>
  <c r="L11" i="7"/>
  <c r="B3" i="7"/>
  <c r="F38" i="6" l="1"/>
  <c r="E38" i="6"/>
  <c r="D38" i="6"/>
  <c r="D32" i="6"/>
  <c r="D31" i="6"/>
  <c r="D69" i="6" s="1"/>
  <c r="K12" i="6"/>
  <c r="I12" i="6" s="1"/>
  <c r="K11" i="6"/>
  <c r="B3" i="6"/>
  <c r="I11" i="6" l="1"/>
  <c r="D52" i="6"/>
  <c r="F52" i="6"/>
  <c r="D39" i="6"/>
  <c r="E52" i="6"/>
  <c r="D46" i="6"/>
  <c r="D34" i="6"/>
  <c r="D29" i="6"/>
  <c r="F69" i="6"/>
  <c r="D45" i="6"/>
  <c r="D33" i="6"/>
  <c r="D22" i="6" l="1"/>
  <c r="D41" i="6"/>
  <c r="E41" i="6" s="1"/>
  <c r="D53" i="6"/>
  <c r="D55" i="6" s="1"/>
  <c r="D56" i="6" s="1"/>
  <c r="D19" i="6" s="1"/>
  <c r="F19" i="6" s="1"/>
  <c r="D35" i="6"/>
  <c r="F43" i="6"/>
  <c r="E43" i="6"/>
  <c r="D43" i="6"/>
  <c r="D64" i="6" l="1"/>
  <c r="D65" i="6" s="1"/>
  <c r="D27" i="6" s="1"/>
  <c r="D18" i="6"/>
  <c r="F18" i="6" s="1"/>
  <c r="F56" i="6"/>
  <c r="D44" i="6"/>
  <c r="D61" i="6"/>
  <c r="D62" i="6" s="1"/>
  <c r="F65" i="6" l="1"/>
  <c r="F62" i="6"/>
  <c r="D21" i="6"/>
  <c r="F21" i="6" s="1"/>
  <c r="D48" i="6"/>
  <c r="D16" i="6" s="1"/>
  <c r="D17" i="6"/>
  <c r="D58" i="6"/>
  <c r="D59" i="6" s="1"/>
  <c r="D36" i="6"/>
  <c r="D25" i="6" s="1"/>
  <c r="D23" i="6" l="1"/>
  <c r="D24" i="6"/>
  <c r="F59" i="6"/>
  <c r="D20" i="6"/>
  <c r="F20" i="6" s="1"/>
  <c r="D67" i="6"/>
  <c r="D28" i="6" l="1"/>
  <c r="F67" i="6"/>
  <c r="D26" i="6"/>
  <c r="B12" i="4" l="1"/>
  <c r="B11" i="4"/>
  <c r="B10" i="4"/>
  <c r="D57" i="2" l="1"/>
  <c r="E57" i="2"/>
  <c r="D61" i="2" s="1"/>
  <c r="E61" i="2" s="1"/>
  <c r="C57" i="2"/>
  <c r="C70" i="2"/>
  <c r="D70" i="2" s="1"/>
  <c r="C71" i="2"/>
  <c r="D71" i="2" s="1"/>
  <c r="C72" i="2"/>
  <c r="D72" i="2" s="1"/>
  <c r="C73" i="2"/>
  <c r="D73" i="2" s="1"/>
  <c r="C74" i="2"/>
  <c r="D74" i="2" s="1"/>
  <c r="C75" i="2"/>
  <c r="D75" i="2" s="1"/>
  <c r="B71" i="2"/>
  <c r="B72" i="2"/>
  <c r="B73" i="2"/>
  <c r="B74" i="2"/>
  <c r="B75" i="2"/>
  <c r="B70" i="2"/>
  <c r="D41" i="2"/>
  <c r="E41" i="2" s="1"/>
  <c r="D42" i="2"/>
  <c r="E42" i="2" s="1"/>
  <c r="D24" i="2"/>
  <c r="D25" i="2"/>
  <c r="D26" i="2"/>
  <c r="D27" i="2"/>
  <c r="D28" i="2"/>
  <c r="E23" i="2"/>
  <c r="D23" i="2"/>
  <c r="E25" i="2"/>
  <c r="E26" i="2"/>
  <c r="E27" i="2"/>
  <c r="E28" i="2"/>
  <c r="E24" i="2"/>
  <c r="D46" i="2"/>
  <c r="E46" i="2" s="1"/>
  <c r="H46" i="2" s="1"/>
  <c r="D45" i="2"/>
  <c r="E45" i="2" s="1"/>
  <c r="D44" i="2"/>
  <c r="E44" i="2" s="1"/>
  <c r="D43" i="2"/>
  <c r="E43" i="2" s="1"/>
  <c r="D60" i="2" l="1"/>
  <c r="E60" i="2" s="1"/>
  <c r="D59" i="2"/>
  <c r="E59" i="2" s="1"/>
  <c r="D64" i="2"/>
  <c r="E64" i="2" s="1"/>
  <c r="D63" i="2"/>
  <c r="E63" i="2" s="1"/>
  <c r="D62" i="2"/>
  <c r="E62" i="2" s="1"/>
  <c r="E70" i="2"/>
  <c r="E75" i="2"/>
  <c r="E74" i="2"/>
  <c r="E73" i="2"/>
  <c r="E72" i="2"/>
  <c r="E71" i="2"/>
  <c r="C24" i="2"/>
  <c r="C25" i="2"/>
  <c r="C26" i="2"/>
  <c r="C27" i="2"/>
  <c r="C28" i="2"/>
  <c r="C23" i="2"/>
  <c r="B24" i="2"/>
  <c r="B25" i="2"/>
  <c r="B26" i="2"/>
  <c r="B27" i="2"/>
  <c r="B28" i="2"/>
  <c r="B23" i="2"/>
  <c r="D16" i="1"/>
  <c r="D32" i="1" s="1"/>
  <c r="C35" i="2" l="1"/>
  <c r="D35" i="2" s="1"/>
  <c r="E35" i="2" s="1"/>
  <c r="H45" i="2" s="1"/>
  <c r="C33" i="2"/>
  <c r="D33" i="2" s="1"/>
  <c r="E33" i="2" s="1"/>
  <c r="C36" i="2"/>
  <c r="D36" i="2" s="1"/>
  <c r="E36" i="2" s="1"/>
  <c r="H44" i="2" s="1"/>
  <c r="C34" i="2"/>
  <c r="D34" i="2" s="1"/>
  <c r="E34" i="2" s="1"/>
  <c r="C32" i="2"/>
  <c r="E32" i="2" s="1"/>
  <c r="H42" i="2" s="1"/>
  <c r="C31" i="2"/>
  <c r="E31" i="2" s="1"/>
  <c r="H41" i="2" s="1"/>
  <c r="D18" i="1"/>
  <c r="D22" i="1" s="1"/>
  <c r="H33" i="2" l="1"/>
  <c r="H43" i="2"/>
  <c r="D23" i="1"/>
  <c r="D19" i="1"/>
  <c r="H18" i="1" s="1"/>
  <c r="H19" i="1" s="1"/>
  <c r="D24" i="1" l="1"/>
  <c r="H22" i="1"/>
  <c r="H23" i="1" s="1"/>
  <c r="D25" i="1" s="1"/>
  <c r="D20" i="1"/>
  <c r="D26" i="1" l="1"/>
  <c r="D30" i="1"/>
  <c r="D34" i="1"/>
  <c r="D28" i="1"/>
  <c r="D35" i="1" l="1"/>
  <c r="D29" i="1"/>
  <c r="D33" i="1"/>
  <c r="D42" i="1"/>
  <c r="D43" i="1" s="1"/>
  <c r="D44" i="1" s="1"/>
  <c r="D45" i="1" s="1"/>
  <c r="D31" i="1"/>
  <c r="D37" i="1" l="1"/>
  <c r="D36" i="1"/>
  <c r="D38" i="1" l="1"/>
  <c r="D47" i="1" s="1"/>
  <c r="D48" i="1" s="1"/>
  <c r="D49" i="1" l="1"/>
  <c r="D50" i="1" s="1"/>
</calcChain>
</file>

<file path=xl/sharedStrings.xml><?xml version="1.0" encoding="utf-8"?>
<sst xmlns="http://schemas.openxmlformats.org/spreadsheetml/2006/main" count="391" uniqueCount="241">
  <si>
    <t>[km]</t>
  </si>
  <si>
    <t>r_earth</t>
  </si>
  <si>
    <t>r0_alt</t>
  </si>
  <si>
    <t>mu_earth_km</t>
  </si>
  <si>
    <t>[km^2/s^2]</t>
  </si>
  <si>
    <t>v_mag_esc_earth</t>
  </si>
  <si>
    <t>r0_earth</t>
  </si>
  <si>
    <t>[km/s]</t>
  </si>
  <si>
    <t>[km^2/2]</t>
  </si>
  <si>
    <t>semi-parameter, p</t>
  </si>
  <si>
    <t>ta_soi</t>
  </si>
  <si>
    <t>r_soi_earth</t>
  </si>
  <si>
    <t>r_soi_earth-sp</t>
  </si>
  <si>
    <t>[rad]</t>
  </si>
  <si>
    <t>[deg]</t>
  </si>
  <si>
    <t>k</t>
  </si>
  <si>
    <t>cos(ta)</t>
  </si>
  <si>
    <t>l_</t>
  </si>
  <si>
    <t>m</t>
  </si>
  <si>
    <t>a1</t>
  </si>
  <si>
    <t>a2</t>
  </si>
  <si>
    <t>a, elliptical</t>
  </si>
  <si>
    <t>a, parabolic</t>
  </si>
  <si>
    <t>c</t>
  </si>
  <si>
    <t>s</t>
  </si>
  <si>
    <t>delta_t</t>
  </si>
  <si>
    <t>[sec]</t>
  </si>
  <si>
    <t>[day]</t>
  </si>
  <si>
    <t>a, hyperbolic</t>
  </si>
  <si>
    <t>if a2=0, then parabolic</t>
  </si>
  <si>
    <t>f</t>
  </si>
  <si>
    <t>g</t>
  </si>
  <si>
    <t>a=a1/a2 if a!=0</t>
  </si>
  <si>
    <t>h_mag_esc</t>
  </si>
  <si>
    <t>h_mag=rp * vp</t>
  </si>
  <si>
    <t>assume rp</t>
  </si>
  <si>
    <t>sp_mag_esc</t>
  </si>
  <si>
    <t>energy_esc</t>
  </si>
  <si>
    <t>should be zero since parabolic orbit</t>
  </si>
  <si>
    <t>h_mag_1</t>
  </si>
  <si>
    <t>v_mag_1</t>
  </si>
  <si>
    <t>sp_mag_1</t>
  </si>
  <si>
    <t>energy_1</t>
  </si>
  <si>
    <t>ecc_1</t>
  </si>
  <si>
    <t>escape</t>
  </si>
  <si>
    <t>cosh(delta_H)</t>
  </si>
  <si>
    <t>delta_H</t>
  </si>
  <si>
    <t>The escape parameters are for reference; the _1 variables are the delta-t drivers…</t>
  </si>
  <si>
    <t xml:space="preserve">  # [au] sma</t>
  </si>
  <si>
    <t xml:space="preserve">  # [--] ecc</t>
  </si>
  <si>
    <t xml:space="preserve">  # [deg] incl</t>
  </si>
  <si>
    <t xml:space="preserve">  # [deg] raan</t>
  </si>
  <si>
    <t xml:space="preserve">  # [deg] w_bar</t>
  </si>
  <si>
    <t xml:space="preserve">  # [deg] Lm</t>
  </si>
  <si>
    <t>Vallado [4]</t>
  </si>
  <si>
    <t>Julian Date</t>
  </si>
  <si>
    <t>Calendar Date</t>
  </si>
  <si>
    <t>Summation</t>
  </si>
  <si>
    <t>Modulo</t>
  </si>
  <si>
    <t>t_TDB: julian centuries of barycentric dynamical time</t>
  </si>
  <si>
    <t>Answer:</t>
  </si>
  <si>
    <t>Earth:</t>
  </si>
  <si>
    <t>x0</t>
  </si>
  <si>
    <t>x1 * T</t>
  </si>
  <si>
    <t>x2 * T^2</t>
  </si>
  <si>
    <t>x3 * T^3</t>
  </si>
  <si>
    <t>x1 (rate)</t>
  </si>
  <si>
    <t>includes mod 360</t>
  </si>
  <si>
    <t>Verify Ephemeris Table Elements Calculations</t>
  </si>
  <si>
    <r>
      <t xml:space="preserve">Horizons, Table 1: </t>
    </r>
    <r>
      <rPr>
        <sz val="10"/>
        <color rgb="FFFF0000"/>
        <rFont val="Arial"/>
        <family val="2"/>
      </rPr>
      <t>NOTE element order is different than Vallado above</t>
    </r>
  </si>
  <si>
    <t>long. of periapsis (w)</t>
  </si>
  <si>
    <t>mean long.</t>
  </si>
  <si>
    <t>2024-10-20. I just gave up trying to correlate ephemeris data sets. Just stick with one and be consistant.</t>
  </si>
  <si>
    <t>Delta's Vallado-Horizons Table 1</t>
  </si>
  <si>
    <t>This data block, below,  is from Horizons Web Application. I spent many hours trying to correlate angle names!!</t>
  </si>
  <si>
    <t>why is this inclination 23deg, if the primary frame is ICRF??</t>
  </si>
  <si>
    <t>Develop test cases for finding the angle to soi (sphere of influence)</t>
  </si>
  <si>
    <t>https://ssd.jpl.nasa.gov/horizons/app.html#/</t>
  </si>
  <si>
    <t>Earth: Horizons Table1</t>
  </si>
  <si>
    <t>Jupiter: Horizons T1</t>
  </si>
  <si>
    <t>Cross-check Vallado [4], Curtis [3], Horizons Table 1</t>
  </si>
  <si>
    <t>Refresh workbook headers, run macro: a_genWB_Config, in WB_Conf module, in local or PERSONAL.XLSB</t>
  </si>
  <si>
    <t>Navigate to Worksheet TOC (table of contents)</t>
  </si>
  <si>
    <t>nav:</t>
  </si>
  <si>
    <t>desc:</t>
  </si>
  <si>
    <t>link-up:</t>
  </si>
  <si>
    <t>Help &amp; Notes ws (worksheet): including sources of wb data.</t>
  </si>
  <si>
    <t>Refresh wb (workbook) headers, run macro: a_genWB_Config, in WB_Conf module, in local or PERSONAL.XLSB</t>
  </si>
  <si>
    <t>Every ws holds meta-data in A1,A2,A3,B1,B2,B3.</t>
  </si>
  <si>
    <t>Help TOC (hyperlinks):</t>
  </si>
  <si>
    <t>ref#</t>
  </si>
  <si>
    <t>Project Change Log (latest date first/top):</t>
  </si>
  <si>
    <t>Operation Instructions:</t>
  </si>
  <si>
    <t>Excel Special Setup:</t>
  </si>
  <si>
    <t>Use this sheet to navigate to worksheet of interest</t>
  </si>
  <si>
    <t>Worksheet Navigation: TOC (table of contents)</t>
  </si>
  <si>
    <t>refresh hyper-links, run macro: lwsTOC, in WB_Conf module, in local or PERSONAL.XLSB</t>
  </si>
  <si>
    <t>Worksheet Hyperlinks</t>
  </si>
  <si>
    <t>Worksheet Descriptions (from ws cell B2)</t>
  </si>
  <si>
    <t>HelpNotes</t>
  </si>
  <si>
    <t>WS_Navigation</t>
  </si>
  <si>
    <t>SOI</t>
  </si>
  <si>
    <t>ephem</t>
  </si>
  <si>
    <t>Compute SOI (sphere of influence)</t>
  </si>
  <si>
    <t>Test ephemeris</t>
  </si>
  <si>
    <t>Orbit position state (vel, radius) conversion to orbital elements (Keplerian)</t>
  </si>
  <si>
    <t>Color Legend</t>
  </si>
  <si>
    <t>yellow = user entry value</t>
  </si>
  <si>
    <t>NOTE: array forumula; control-shift-enter</t>
  </si>
  <si>
    <t>blue    = calculation output</t>
  </si>
  <si>
    <t>originated 2010 July, edited Jeff Belue, 2020-09</t>
  </si>
  <si>
    <t>green = answer</t>
  </si>
  <si>
    <t>grey = implemented, not tested</t>
  </si>
  <si>
    <t>Position vector components</t>
  </si>
  <si>
    <t>Values Look-up</t>
  </si>
  <si>
    <t>Sourcing Information</t>
  </si>
  <si>
    <t>Given Descriptions</t>
  </si>
  <si>
    <t>i</t>
  </si>
  <si>
    <t>j</t>
  </si>
  <si>
    <t>units</t>
  </si>
  <si>
    <t>Central Body</t>
  </si>
  <si>
    <t>G * M (μ)</t>
  </si>
  <si>
    <t>index</t>
  </si>
  <si>
    <t>Epoch: UTCGregorian</t>
  </si>
  <si>
    <t>Notes</t>
  </si>
  <si>
    <t>Radius vector, position</t>
  </si>
  <si>
    <t>km</t>
  </si>
  <si>
    <t>Sun</t>
  </si>
  <si>
    <t>km^3 / sec^2</t>
  </si>
  <si>
    <t>1988-04-08 12:00:00</t>
  </si>
  <si>
    <t>position vector from GMAT for earth</t>
  </si>
  <si>
    <t>Velocity vector, position</t>
  </si>
  <si>
    <t>km / sec</t>
  </si>
  <si>
    <t>1988-07-26 12:00:00</t>
  </si>
  <si>
    <t>position vector from GMAT for venus</t>
  </si>
  <si>
    <t>Classic Orbital Elements (COEs)</t>
  </si>
  <si>
    <t>Element Name</t>
  </si>
  <si>
    <t>value</t>
  </si>
  <si>
    <t>a, Orbit size (sma, semi-major axis)</t>
  </si>
  <si>
    <t>alt, used this sht</t>
  </si>
  <si>
    <t>e, Eccentricity (ecc)</t>
  </si>
  <si>
    <t>alt, earth</t>
  </si>
  <si>
    <t>i, Inclination (inc)</t>
  </si>
  <si>
    <t>degrees</t>
  </si>
  <si>
    <t>rad</t>
  </si>
  <si>
    <t>alt, mars</t>
  </si>
  <si>
    <t>Ω, Longitude of Assending Node (RAAN)</t>
  </si>
  <si>
    <t>ω, argument of periapsis (aop)</t>
  </si>
  <si>
    <t>ν, true anomaly (ta)</t>
  </si>
  <si>
    <t>p, semi-latus rectum</t>
  </si>
  <si>
    <t>Rp, periapsis radius (RadPer)</t>
  </si>
  <si>
    <t>Ra, apoapsis radius (RadApo)</t>
  </si>
  <si>
    <t>orbit type</t>
  </si>
  <si>
    <t>the orbit crashes into the central body?</t>
  </si>
  <si>
    <t>alt.
elmts</t>
  </si>
  <si>
    <t>u, argument of latitude</t>
  </si>
  <si>
    <t>when e = 0</t>
  </si>
  <si>
    <t>Lp, longitude of periapsis</t>
  </si>
  <si>
    <t>tL, true longitude</t>
  </si>
  <si>
    <t>when e = 0 &amp; i = 0</t>
  </si>
  <si>
    <t>step 1</t>
  </si>
  <si>
    <t>Magnitude, Position radius</t>
  </si>
  <si>
    <t>Magnitude, Position velocity</t>
  </si>
  <si>
    <t>velocity^2</t>
  </si>
  <si>
    <t>km^2 / sec^2</t>
  </si>
  <si>
    <t>μ / radius</t>
  </si>
  <si>
    <t>specific mechanical energy</t>
  </si>
  <si>
    <t>test circular/parabolic/hyperbolic/elliptic</t>
  </si>
  <si>
    <t>step 2</t>
  </si>
  <si>
    <t>Calculate specific angular momentum</t>
  </si>
  <si>
    <t>h, specific angular momentum (r X V)</t>
  </si>
  <si>
    <t>km^2 / sec</t>
  </si>
  <si>
    <t>Magnitude, h</t>
  </si>
  <si>
    <t>step 3</t>
  </si>
  <si>
    <t>Calculate orbit inclination, i</t>
  </si>
  <si>
    <t>acos( hz / h)</t>
  </si>
  <si>
    <t>test, out of range</t>
  </si>
  <si>
    <t>step 4</t>
  </si>
  <si>
    <t>Calculate e vector &amp; mag e</t>
  </si>
  <si>
    <t>e vector</t>
  </si>
  <si>
    <t>e vector, magnitude</t>
  </si>
  <si>
    <t>(V^2) / mu - 1/r)</t>
  </si>
  <si>
    <t>1 / mu * (radius Dot velocity)</t>
  </si>
  <si>
    <t>step 5</t>
  </si>
  <si>
    <t>Calculate a, semi-major axis</t>
  </si>
  <si>
    <t>a</t>
  </si>
  <si>
    <t>test parabolic</t>
  </si>
  <si>
    <t>step 6</t>
  </si>
  <si>
    <t>Calculate node vector, n</t>
  </si>
  <si>
    <t>k vector (coordinate axis)</t>
  </si>
  <si>
    <t>n, line of assending node (k X h)</t>
  </si>
  <si>
    <t>Magnitude, n</t>
  </si>
  <si>
    <t>Calculate RAAN (angle of asending node)</t>
  </si>
  <si>
    <t>(i dot n / magnitude n)</t>
  </si>
  <si>
    <t>acos(RAAN), include quadrent check</t>
  </si>
  <si>
    <t>radians</t>
  </si>
  <si>
    <t>step 7
(not tested yet)</t>
  </si>
  <si>
    <t>Calculate ω (argument of periapsis)</t>
  </si>
  <si>
    <t>(n Dot e) / (n * e)</t>
  </si>
  <si>
    <t>acos(), include quadrent check</t>
  </si>
  <si>
    <t>step 8</t>
  </si>
  <si>
    <t>Calculate v (true anomaly)</t>
  </si>
  <si>
    <t>(e Dot r) / (e * r)</t>
  </si>
  <si>
    <t>step 9
(not tested yet)</t>
  </si>
  <si>
    <t>Calculate u (argument of latitude)</t>
  </si>
  <si>
    <t>(n Dot r) / (n * r)</t>
  </si>
  <si>
    <t>Calculate Lp (longitude of periapsis)</t>
  </si>
  <si>
    <t>(RAAN + ω)</t>
  </si>
  <si>
    <t>Calculate tL (true longitude)</t>
  </si>
  <si>
    <t>(I Dot r) / (I * r)</t>
  </si>
  <si>
    <t>Solar system reference data</t>
  </si>
  <si>
    <t>Robert A. Braeunig, http://www.braeunig.us/space/index.htm</t>
  </si>
  <si>
    <t>C.D.Brown, 1992, Spacecraft Mission Design, apdx  C, &amp;, p173; BMWS, 2020, p9</t>
  </si>
  <si>
    <t>Solar  System Data</t>
  </si>
  <si>
    <t>Body
Name</t>
  </si>
  <si>
    <t>Equatorial Radius
[km]</t>
  </si>
  <si>
    <t>Mass
[10^24 kg]</t>
  </si>
  <si>
    <t>Surface Gravity
[m/s^2]</t>
  </si>
  <si>
    <t>GM
[10^15 m^3/s^2]</t>
  </si>
  <si>
    <t>Semimajor Axis
[10^6 km]</t>
  </si>
  <si>
    <t>Eccentricity</t>
  </si>
  <si>
    <t>Orbit 
Inclination
[deg]</t>
  </si>
  <si>
    <t>Sidereal 
Period
[d]</t>
  </si>
  <si>
    <t>Sidereal Rotation Period
[hr]</t>
  </si>
  <si>
    <t>G
[N*m^2/kg^2]</t>
  </si>
  <si>
    <t>M_
[10^24kg]</t>
  </si>
  <si>
    <t>GM (μ)
[km^3/s^2]</t>
  </si>
  <si>
    <t>alt
[m]</t>
  </si>
  <si>
    <t>R_
[m]</t>
  </si>
  <si>
    <t>F_
[N]</t>
  </si>
  <si>
    <t>F_ / g0</t>
  </si>
  <si>
    <t>SMAD 3rd ed.</t>
  </si>
  <si>
    <t>Mercury</t>
  </si>
  <si>
    <t>Venus</t>
  </si>
  <si>
    <t>Earth</t>
  </si>
  <si>
    <t>Mars</t>
  </si>
  <si>
    <t>Jupiter</t>
  </si>
  <si>
    <t>Saturn</t>
  </si>
  <si>
    <t>Uranus</t>
  </si>
  <si>
    <t>Neptune</t>
  </si>
  <si>
    <t>Pluto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</si>
</sst>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#,##0.0000"/>
    <numFmt numFmtId="165" formatCode="#,##0.00000"/>
    <numFmt numFmtId="166" formatCode="0.000000E+00"/>
    <numFmt numFmtId="167" formatCode="#,##0.0000000000"/>
    <numFmt numFmtId="168" formatCode="yyyy\-mm\-dd\ h:mm:ss"/>
    <numFmt numFmtId="169" formatCode="#,##0.000000"/>
    <numFmt numFmtId="170" formatCode="0.000%"/>
    <numFmt numFmtId="171" formatCode="0.000000"/>
    <numFmt numFmtId="172" formatCode="0.00000000"/>
    <numFmt numFmtId="173" formatCode="#,##0.00000000"/>
    <numFmt numFmtId="174" formatCode="#,##0.000"/>
    <numFmt numFmtId="175" formatCode="0.00000"/>
    <numFmt numFmtId="176" formatCode="0.0000"/>
    <numFmt numFmtId="177" formatCode="0.0000E+00"/>
    <numFmt numFmtId="178" formatCode="0.000E+00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FFC000"/>
      <name val="Arial"/>
      <family val="2"/>
    </font>
    <font>
      <sz val="10"/>
      <color rgb="FFFF000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color theme="1"/>
      <name val="Arial"/>
      <family val="2"/>
    </font>
    <font>
      <sz val="10"/>
      <color rgb="FF0000FF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5EF92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0.59999389629810485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1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167" fontId="1" fillId="0" borderId="0" xfId="0" applyNumberFormat="1" applyFont="1" applyAlignment="1">
      <alignment vertical="center"/>
    </xf>
    <xf numFmtId="168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/>
    </xf>
    <xf numFmtId="169" fontId="1" fillId="0" borderId="0" xfId="0" applyNumberFormat="1" applyFont="1" applyAlignment="1">
      <alignment vertical="center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1" fillId="4" borderId="0" xfId="0" applyFont="1" applyFill="1" applyAlignment="1">
      <alignment vertical="center"/>
    </xf>
    <xf numFmtId="169" fontId="1" fillId="4" borderId="0" xfId="0" applyNumberFormat="1" applyFont="1" applyFill="1" applyAlignment="1">
      <alignment vertical="center"/>
    </xf>
    <xf numFmtId="0" fontId="1" fillId="2" borderId="0" xfId="0" applyFont="1" applyFill="1" applyAlignment="1">
      <alignment vertical="center"/>
    </xf>
    <xf numFmtId="170" fontId="1" fillId="0" borderId="0" xfId="1" applyNumberFormat="1" applyFont="1" applyAlignment="1">
      <alignment vertical="center"/>
    </xf>
    <xf numFmtId="170" fontId="1" fillId="0" borderId="0" xfId="1" applyNumberFormat="1" applyFont="1" applyFill="1" applyAlignment="1">
      <alignment vertical="center"/>
    </xf>
    <xf numFmtId="0" fontId="3" fillId="2" borderId="0" xfId="0" applyFont="1" applyFill="1" applyAlignment="1">
      <alignment vertical="center"/>
    </xf>
    <xf numFmtId="170" fontId="1" fillId="2" borderId="0" xfId="1" applyNumberFormat="1" applyFont="1" applyFill="1" applyAlignment="1">
      <alignment vertical="center"/>
    </xf>
    <xf numFmtId="173" fontId="1" fillId="2" borderId="0" xfId="0" applyNumberFormat="1" applyFont="1" applyFill="1" applyAlignment="1">
      <alignment vertical="center"/>
    </xf>
    <xf numFmtId="172" fontId="1" fillId="2" borderId="0" xfId="0" applyNumberFormat="1" applyFont="1" applyFill="1" applyAlignment="1">
      <alignment vertical="center"/>
    </xf>
    <xf numFmtId="171" fontId="1" fillId="2" borderId="0" xfId="0" applyNumberFormat="1" applyFont="1" applyFill="1" applyAlignment="1">
      <alignment vertical="center"/>
    </xf>
    <xf numFmtId="0" fontId="2" fillId="2" borderId="0" xfId="0" applyFont="1" applyFill="1" applyAlignment="1">
      <alignment vertical="center"/>
    </xf>
    <xf numFmtId="171" fontId="1" fillId="0" borderId="0" xfId="0" applyNumberFormat="1" applyFont="1" applyAlignment="1">
      <alignment vertical="center"/>
    </xf>
    <xf numFmtId="0" fontId="6" fillId="0" borderId="0" xfId="2" applyFont="1" applyAlignment="1">
      <alignment horizontal="left" vertical="center"/>
    </xf>
    <xf numFmtId="0" fontId="5" fillId="0" borderId="0" xfId="2" applyAlignment="1">
      <alignment vertical="center"/>
    </xf>
    <xf numFmtId="0" fontId="7" fillId="0" borderId="0" xfId="0" applyFont="1" applyAlignment="1">
      <alignment horizontal="left" vertical="center"/>
    </xf>
    <xf numFmtId="0" fontId="6" fillId="0" borderId="0" xfId="2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164" fontId="1" fillId="0" borderId="0" xfId="0" applyNumberFormat="1" applyFont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165" fontId="1" fillId="0" borderId="0" xfId="0" applyNumberFormat="1" applyFont="1" applyAlignment="1">
      <alignment vertical="center"/>
    </xf>
    <xf numFmtId="164" fontId="1" fillId="3" borderId="0" xfId="0" applyNumberFormat="1" applyFont="1" applyFill="1" applyAlignment="1">
      <alignment vertical="center"/>
    </xf>
    <xf numFmtId="166" fontId="1" fillId="0" borderId="0" xfId="0" applyNumberFormat="1" applyFont="1" applyAlignment="1">
      <alignment vertical="center"/>
    </xf>
    <xf numFmtId="0" fontId="6" fillId="0" borderId="0" xfId="2" applyFont="1" applyAlignment="1">
      <alignment horizontal="center" vertical="center"/>
    </xf>
    <xf numFmtId="0" fontId="8" fillId="0" borderId="0" xfId="0" applyFont="1" applyAlignment="1">
      <alignment vertical="center"/>
    </xf>
    <xf numFmtId="0" fontId="5" fillId="0" borderId="0" xfId="2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1" xfId="0" applyFont="1" applyBorder="1" applyAlignment="1">
      <alignment horizontal="centerContinuous" vertical="center"/>
    </xf>
    <xf numFmtId="0" fontId="9" fillId="0" borderId="2" xfId="0" applyFont="1" applyBorder="1" applyAlignment="1">
      <alignment horizontal="centerContinuous" vertical="center"/>
    </xf>
    <xf numFmtId="0" fontId="8" fillId="3" borderId="3" xfId="0" applyFont="1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8" fillId="5" borderId="3" xfId="0" applyFont="1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8" fillId="6" borderId="5" xfId="0" applyFont="1" applyFill="1" applyBorder="1" applyAlignment="1">
      <alignment vertical="center"/>
    </xf>
    <xf numFmtId="0" fontId="0" fillId="6" borderId="6" xfId="0" applyFill="1" applyBorder="1" applyAlignment="1">
      <alignment vertical="center"/>
    </xf>
    <xf numFmtId="0" fontId="8" fillId="7" borderId="7" xfId="0" applyFont="1" applyFill="1" applyBorder="1" applyAlignment="1">
      <alignment vertical="center"/>
    </xf>
    <xf numFmtId="0" fontId="0" fillId="7" borderId="8" xfId="0" applyFill="1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9" xfId="0" applyFont="1" applyBorder="1" applyAlignment="1">
      <alignment horizontal="centerContinuous" vertical="center"/>
    </xf>
    <xf numFmtId="0" fontId="8" fillId="0" borderId="1" xfId="0" applyFont="1" applyBorder="1" applyAlignment="1">
      <alignment horizontal="centerContinuous" vertical="center"/>
    </xf>
    <xf numFmtId="0" fontId="0" fillId="0" borderId="10" xfId="0" applyBorder="1" applyAlignment="1">
      <alignment horizontal="centerContinuous" vertical="center"/>
    </xf>
    <xf numFmtId="0" fontId="0" fillId="0" borderId="11" xfId="0" applyBorder="1" applyAlignment="1">
      <alignment horizontal="centerContinuous" vertical="center"/>
    </xf>
    <xf numFmtId="0" fontId="8" fillId="0" borderId="12" xfId="0" applyFont="1" applyBorder="1" applyAlignment="1">
      <alignment horizontal="centerContinuous" vertical="center"/>
    </xf>
    <xf numFmtId="0" fontId="0" fillId="0" borderId="13" xfId="0" applyBorder="1" applyAlignment="1">
      <alignment horizontal="centerContinuous" vertical="center"/>
    </xf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9" xfId="0" applyFont="1" applyBorder="1" applyAlignment="1">
      <alignment horizontal="left" vertical="center"/>
    </xf>
    <xf numFmtId="165" fontId="0" fillId="3" borderId="20" xfId="0" applyNumberForma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49" fontId="8" fillId="0" borderId="18" xfId="0" quotePrefix="1" applyNumberFormat="1" applyFont="1" applyBorder="1" applyAlignment="1">
      <alignment horizontal="center" vertical="center"/>
    </xf>
    <xf numFmtId="0" fontId="8" fillId="0" borderId="15" xfId="0" applyFont="1" applyBorder="1" applyAlignment="1">
      <alignment vertical="center"/>
    </xf>
    <xf numFmtId="0" fontId="8" fillId="0" borderId="3" xfId="0" applyFont="1" applyBorder="1" applyAlignment="1">
      <alignment horizontal="left" vertical="center"/>
    </xf>
    <xf numFmtId="165" fontId="0" fillId="3" borderId="21" xfId="0" applyNumberFormat="1" applyFill="1" applyBorder="1" applyAlignment="1">
      <alignment horizontal="center" vertical="center"/>
    </xf>
    <xf numFmtId="169" fontId="0" fillId="3" borderId="21" xfId="0" applyNumberForma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9" fontId="8" fillId="0" borderId="18" xfId="0" applyNumberFormat="1" applyFont="1" applyBorder="1" applyAlignment="1">
      <alignment horizontal="center" vertical="center"/>
    </xf>
    <xf numFmtId="174" fontId="8" fillId="0" borderId="0" xfId="0" applyNumberFormat="1" applyFont="1" applyAlignment="1">
      <alignment vertical="center"/>
    </xf>
    <xf numFmtId="0" fontId="9" fillId="6" borderId="22" xfId="0" applyFont="1" applyFill="1" applyBorder="1" applyAlignment="1">
      <alignment horizontal="centerContinuous" vertical="center"/>
    </xf>
    <xf numFmtId="0" fontId="0" fillId="6" borderId="23" xfId="0" applyFill="1" applyBorder="1" applyAlignment="1">
      <alignment horizontal="centerContinuous" vertical="center"/>
    </xf>
    <xf numFmtId="0" fontId="0" fillId="6" borderId="24" xfId="0" applyFill="1" applyBorder="1" applyAlignment="1">
      <alignment horizontal="centerContinuous" vertical="center"/>
    </xf>
    <xf numFmtId="0" fontId="9" fillId="6" borderId="25" xfId="0" applyFont="1" applyFill="1" applyBorder="1" applyAlignment="1">
      <alignment horizontal="center" vertical="center"/>
    </xf>
    <xf numFmtId="0" fontId="9" fillId="6" borderId="26" xfId="0" applyFont="1" applyFill="1" applyBorder="1" applyAlignment="1">
      <alignment horizontal="center" vertical="center"/>
    </xf>
    <xf numFmtId="0" fontId="9" fillId="6" borderId="27" xfId="0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8" fillId="8" borderId="1" xfId="0" applyFont="1" applyFill="1" applyBorder="1" applyAlignment="1">
      <alignment vertical="center"/>
    </xf>
    <xf numFmtId="165" fontId="0" fillId="8" borderId="9" xfId="0" applyNumberForma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0" fontId="8" fillId="3" borderId="19" xfId="0" applyFont="1" applyFill="1" applyBorder="1" applyAlignment="1">
      <alignment vertical="center"/>
    </xf>
    <xf numFmtId="0" fontId="0" fillId="3" borderId="20" xfId="0" applyFill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8" fillId="8" borderId="3" xfId="0" applyFont="1" applyFill="1" applyBorder="1" applyAlignment="1">
      <alignment vertical="center"/>
    </xf>
    <xf numFmtId="171" fontId="0" fillId="8" borderId="21" xfId="0" applyNumberFormat="1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horizontal="center" vertical="center"/>
    </xf>
    <xf numFmtId="175" fontId="0" fillId="8" borderId="21" xfId="0" applyNumberFormat="1" applyFill="1" applyBorder="1" applyAlignment="1">
      <alignment horizontal="center" vertical="center"/>
    </xf>
    <xf numFmtId="0" fontId="8" fillId="6" borderId="4" xfId="0" applyFont="1" applyFill="1" applyBorder="1" applyAlignment="1">
      <alignment horizontal="center" vertical="center"/>
    </xf>
    <xf numFmtId="0" fontId="8" fillId="0" borderId="7" xfId="0" applyFont="1" applyBorder="1" applyAlignment="1">
      <alignment vertical="center"/>
    </xf>
    <xf numFmtId="0" fontId="0" fillId="0" borderId="31" xfId="0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176" fontId="0" fillId="8" borderId="21" xfId="0" applyNumberFormat="1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8" fillId="8" borderId="7" xfId="0" applyFont="1" applyFill="1" applyBorder="1" applyAlignment="1">
      <alignment vertical="center"/>
    </xf>
    <xf numFmtId="176" fontId="0" fillId="8" borderId="31" xfId="0" applyNumberForma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4" fontId="0" fillId="8" borderId="9" xfId="0" applyNumberFormat="1" applyFill="1" applyBorder="1" applyAlignment="1">
      <alignment horizontal="center" vertical="center"/>
    </xf>
    <xf numFmtId="4" fontId="0" fillId="8" borderId="2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8" borderId="21" xfId="0" applyNumberFormat="1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8" fillId="7" borderId="34" xfId="0" applyFont="1" applyFill="1" applyBorder="1" applyAlignment="1">
      <alignment vertical="center"/>
    </xf>
    <xf numFmtId="2" fontId="0" fillId="7" borderId="20" xfId="0" applyNumberFormat="1" applyFill="1" applyBorder="1" applyAlignment="1">
      <alignment horizontal="center" vertical="center"/>
    </xf>
    <xf numFmtId="0" fontId="8" fillId="7" borderId="20" xfId="0" applyFont="1" applyFill="1" applyBorder="1" applyAlignment="1">
      <alignment horizontal="center" vertical="center"/>
    </xf>
    <xf numFmtId="0" fontId="8" fillId="7" borderId="21" xfId="0" applyFont="1" applyFill="1" applyBorder="1" applyAlignment="1">
      <alignment vertical="center"/>
    </xf>
    <xf numFmtId="0" fontId="8" fillId="7" borderId="18" xfId="0" applyFont="1" applyFill="1" applyBorder="1" applyAlignment="1">
      <alignment vertical="center"/>
    </xf>
    <xf numFmtId="2" fontId="0" fillId="7" borderId="21" xfId="0" applyNumberFormat="1" applyFill="1" applyBorder="1" applyAlignment="1">
      <alignment horizontal="center" vertical="center"/>
    </xf>
    <xf numFmtId="0" fontId="8" fillId="7" borderId="21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vertical="center"/>
    </xf>
    <xf numFmtId="2" fontId="0" fillId="7" borderId="31" xfId="0" applyNumberForma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vertical="center"/>
    </xf>
    <xf numFmtId="0" fontId="8" fillId="0" borderId="1" xfId="0" applyFont="1" applyBorder="1" applyAlignment="1">
      <alignment vertical="center"/>
    </xf>
    <xf numFmtId="165" fontId="0" fillId="5" borderId="9" xfId="0" applyNumberForma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165" fontId="0" fillId="5" borderId="21" xfId="0" applyNumberFormat="1" applyFill="1" applyBorder="1" applyAlignment="1">
      <alignment horizontal="center" vertical="center"/>
    </xf>
    <xf numFmtId="0" fontId="8" fillId="0" borderId="5" xfId="0" applyFont="1" applyBorder="1" applyAlignment="1">
      <alignment vertical="center"/>
    </xf>
    <xf numFmtId="165" fontId="0" fillId="5" borderId="40" xfId="0" applyNumberFormat="1" applyFill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165" fontId="0" fillId="5" borderId="31" xfId="0" applyNumberFormat="1" applyFill="1" applyBorder="1" applyAlignment="1">
      <alignment horizontal="center" vertical="center"/>
    </xf>
    <xf numFmtId="0" fontId="8" fillId="0" borderId="8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41" xfId="0" applyFont="1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0" borderId="7" xfId="0" applyBorder="1" applyAlignment="1">
      <alignment horizontal="left" vertical="center"/>
    </xf>
    <xf numFmtId="174" fontId="0" fillId="5" borderId="31" xfId="0" applyNumberFormat="1" applyFill="1" applyBorder="1" applyAlignment="1">
      <alignment horizontal="center" vertical="center"/>
    </xf>
    <xf numFmtId="0" fontId="0" fillId="0" borderId="31" xfId="0" applyBorder="1" applyAlignment="1">
      <alignment vertical="center"/>
    </xf>
    <xf numFmtId="0" fontId="9" fillId="0" borderId="1" xfId="0" applyFont="1" applyBorder="1" applyAlignment="1">
      <alignment horizontal="left" vertical="center"/>
    </xf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8" fillId="0" borderId="7" xfId="0" applyFont="1" applyBorder="1" applyAlignment="1">
      <alignment horizontal="left" vertical="center"/>
    </xf>
    <xf numFmtId="0" fontId="8" fillId="0" borderId="31" xfId="0" applyFont="1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21" xfId="0" applyBorder="1" applyAlignment="1">
      <alignment vertical="center"/>
    </xf>
    <xf numFmtId="0" fontId="0" fillId="5" borderId="31" xfId="0" applyFill="1" applyBorder="1" applyAlignment="1">
      <alignment horizontal="center" vertical="center"/>
    </xf>
    <xf numFmtId="0" fontId="9" fillId="0" borderId="25" xfId="0" applyFont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vertical="center"/>
    </xf>
    <xf numFmtId="0" fontId="8" fillId="0" borderId="44" xfId="0" applyFont="1" applyBorder="1" applyAlignment="1">
      <alignment horizontal="center" vertical="center"/>
    </xf>
    <xf numFmtId="0" fontId="8" fillId="0" borderId="21" xfId="0" applyFont="1" applyBorder="1" applyAlignment="1">
      <alignment vertical="center"/>
    </xf>
    <xf numFmtId="0" fontId="8" fillId="0" borderId="45" xfId="0" applyFont="1" applyBorder="1" applyAlignment="1">
      <alignment horizontal="center" vertical="center"/>
    </xf>
    <xf numFmtId="0" fontId="8" fillId="0" borderId="46" xfId="0" applyFont="1" applyBorder="1" applyAlignment="1">
      <alignment horizontal="left" vertical="center"/>
    </xf>
    <xf numFmtId="0" fontId="0" fillId="0" borderId="47" xfId="0" applyBorder="1" applyAlignment="1">
      <alignment horizontal="center" vertical="center"/>
    </xf>
    <xf numFmtId="0" fontId="0" fillId="0" borderId="47" xfId="0" applyBorder="1" applyAlignment="1">
      <alignment vertical="center"/>
    </xf>
    <xf numFmtId="0" fontId="8" fillId="0" borderId="48" xfId="0" applyFont="1" applyBorder="1" applyAlignment="1">
      <alignment horizontal="center" vertical="center"/>
    </xf>
    <xf numFmtId="0" fontId="8" fillId="0" borderId="49" xfId="0" applyFont="1" applyBorder="1" applyAlignment="1">
      <alignment horizontal="left" vertical="center"/>
    </xf>
    <xf numFmtId="0" fontId="8" fillId="0" borderId="50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51" xfId="0" applyFont="1" applyBorder="1" applyAlignment="1">
      <alignment horizontal="left" vertical="center"/>
    </xf>
    <xf numFmtId="0" fontId="0" fillId="5" borderId="34" xfId="0" applyFill="1" applyBorder="1" applyAlignment="1">
      <alignment horizontal="center" vertical="center"/>
    </xf>
    <xf numFmtId="0" fontId="8" fillId="0" borderId="52" xfId="0" applyFont="1" applyBorder="1" applyAlignment="1">
      <alignment horizontal="left" vertical="center"/>
    </xf>
    <xf numFmtId="0" fontId="0" fillId="5" borderId="37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8" fillId="0" borderId="52" xfId="0" applyFont="1" applyBorder="1" applyAlignment="1">
      <alignment vertical="center"/>
    </xf>
    <xf numFmtId="176" fontId="0" fillId="5" borderId="37" xfId="0" applyNumberFormat="1" applyFill="1" applyBorder="1" applyAlignment="1">
      <alignment horizontal="center" vertical="center"/>
    </xf>
    <xf numFmtId="0" fontId="8" fillId="0" borderId="54" xfId="0" applyFont="1" applyBorder="1" applyAlignment="1">
      <alignment horizontal="center" vertical="center"/>
    </xf>
    <xf numFmtId="0" fontId="9" fillId="0" borderId="49" xfId="0" applyFont="1" applyBorder="1" applyAlignment="1">
      <alignment horizontal="left" vertical="center"/>
    </xf>
    <xf numFmtId="0" fontId="0" fillId="0" borderId="3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9" fillId="7" borderId="14" xfId="0" applyFont="1" applyFill="1" applyBorder="1" applyAlignment="1">
      <alignment horizontal="left" vertical="center"/>
    </xf>
    <xf numFmtId="0" fontId="0" fillId="7" borderId="12" xfId="0" applyFill="1" applyBorder="1" applyAlignment="1">
      <alignment horizontal="center" vertical="center"/>
    </xf>
    <xf numFmtId="0" fontId="0" fillId="7" borderId="53" xfId="0" applyFill="1" applyBorder="1" applyAlignment="1">
      <alignment horizontal="center" vertical="center"/>
    </xf>
    <xf numFmtId="0" fontId="8" fillId="7" borderId="56" xfId="0" applyFont="1" applyFill="1" applyBorder="1" applyAlignment="1">
      <alignment horizontal="left" vertical="center"/>
    </xf>
    <xf numFmtId="175" fontId="0" fillId="7" borderId="57" xfId="0" applyNumberFormat="1" applyFill="1" applyBorder="1" applyAlignment="1">
      <alignment horizontal="center" vertical="center"/>
    </xf>
    <xf numFmtId="0" fontId="8" fillId="7" borderId="58" xfId="0" applyFont="1" applyFill="1" applyBorder="1" applyAlignment="1">
      <alignment horizontal="center" vertical="center"/>
    </xf>
    <xf numFmtId="175" fontId="0" fillId="0" borderId="59" xfId="0" applyNumberFormat="1" applyBorder="1" applyAlignment="1">
      <alignment horizontal="center" vertical="center"/>
    </xf>
    <xf numFmtId="0" fontId="8" fillId="0" borderId="55" xfId="0" applyFont="1" applyBorder="1" applyAlignment="1">
      <alignment horizontal="center" vertical="center"/>
    </xf>
    <xf numFmtId="0" fontId="8" fillId="0" borderId="60" xfId="0" applyFont="1" applyBorder="1" applyAlignment="1">
      <alignment vertical="center"/>
    </xf>
    <xf numFmtId="0" fontId="10" fillId="0" borderId="20" xfId="0" applyFont="1" applyBorder="1" applyAlignment="1">
      <alignment horizontal="centerContinuous" vertical="center"/>
    </xf>
    <xf numFmtId="0" fontId="7" fillId="0" borderId="20" xfId="0" applyFont="1" applyBorder="1" applyAlignment="1">
      <alignment horizontal="centerContinuous" vertical="center"/>
    </xf>
    <xf numFmtId="0" fontId="10" fillId="0" borderId="19" xfId="0" applyFont="1" applyBorder="1" applyAlignment="1">
      <alignment horizontal="centerContinuous" vertical="center"/>
    </xf>
    <xf numFmtId="0" fontId="0" fillId="0" borderId="20" xfId="0" applyBorder="1" applyAlignment="1">
      <alignment horizontal="centerContinuous" vertical="center"/>
    </xf>
    <xf numFmtId="0" fontId="7" fillId="0" borderId="0" xfId="0" applyFont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1" fontId="0" fillId="0" borderId="0" xfId="0" applyNumberFormat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4" fontId="0" fillId="0" borderId="0" xfId="0" applyNumberFormat="1" applyAlignment="1">
      <alignment vertical="center"/>
    </xf>
    <xf numFmtId="0" fontId="0" fillId="0" borderId="60" xfId="0" applyBorder="1" applyAlignment="1">
      <alignment vertical="center"/>
    </xf>
    <xf numFmtId="3" fontId="0" fillId="0" borderId="0" xfId="0" applyNumberFormat="1" applyAlignment="1">
      <alignment vertical="center"/>
    </xf>
    <xf numFmtId="177" fontId="0" fillId="0" borderId="0" xfId="0" applyNumberFormat="1" applyAlignment="1">
      <alignment vertical="center"/>
    </xf>
    <xf numFmtId="178" fontId="0" fillId="0" borderId="0" xfId="0" applyNumberFormat="1" applyAlignment="1">
      <alignment vertical="center"/>
    </xf>
    <xf numFmtId="0" fontId="8" fillId="0" borderId="38" xfId="0" applyFont="1" applyBorder="1" applyAlignment="1">
      <alignment horizontal="center" vertical="center" textRotation="90"/>
    </xf>
    <xf numFmtId="0" fontId="8" fillId="0" borderId="39" xfId="0" applyFont="1" applyBorder="1" applyAlignment="1">
      <alignment horizontal="center" vertical="center" textRotation="90"/>
    </xf>
    <xf numFmtId="0" fontId="0" fillId="0" borderId="39" xfId="0" applyBorder="1" applyAlignment="1">
      <alignment horizontal="center" vertical="center" textRotation="90"/>
    </xf>
    <xf numFmtId="0" fontId="0" fillId="0" borderId="43" xfId="0" applyBorder="1" applyAlignment="1">
      <alignment horizontal="center" vertical="center" textRotation="90"/>
    </xf>
    <xf numFmtId="0" fontId="8" fillId="0" borderId="38" xfId="0" applyFont="1" applyBorder="1" applyAlignment="1">
      <alignment horizontal="center" vertical="center" textRotation="90" wrapText="1"/>
    </xf>
    <xf numFmtId="0" fontId="8" fillId="7" borderId="38" xfId="0" applyFont="1" applyFill="1" applyBorder="1" applyAlignment="1">
      <alignment horizontal="center" vertical="center" textRotation="90" wrapText="1"/>
    </xf>
    <xf numFmtId="0" fontId="0" fillId="7" borderId="39" xfId="0" applyFill="1" applyBorder="1" applyAlignment="1">
      <alignment horizontal="center" vertical="center" textRotation="90"/>
    </xf>
    <xf numFmtId="0" fontId="0" fillId="7" borderId="43" xfId="0" applyFill="1" applyBorder="1" applyAlignment="1">
      <alignment horizontal="center" vertical="center" textRotation="90"/>
    </xf>
    <xf numFmtId="0" fontId="8" fillId="7" borderId="33" xfId="0" applyFont="1" applyFill="1" applyBorder="1" applyAlignment="1">
      <alignment horizontal="center" vertical="center" textRotation="90" wrapText="1"/>
    </xf>
    <xf numFmtId="0" fontId="0" fillId="7" borderId="35" xfId="0" applyFill="1" applyBorder="1" applyAlignment="1">
      <alignment horizontal="center" vertical="center" textRotation="90"/>
    </xf>
    <xf numFmtId="0" fontId="0" fillId="7" borderId="36" xfId="0" applyFill="1" applyBorder="1" applyAlignment="1">
      <alignment horizontal="center" vertical="center" textRotation="90"/>
    </xf>
  </cellXfs>
  <cellStyles count="3">
    <cellStyle name="Hyperlink" xfId="2" builtinId="8"/>
    <cellStyle name="Normal" xfId="0" builtinId="0"/>
    <cellStyle name="Percent" xfId="1" builtinId="5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EF9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0</xdr:colOff>
          <xdr:row>5</xdr:row>
          <xdr:rowOff>0</xdr:rowOff>
        </xdr:from>
        <xdr:ext cx="1490662" cy="223837"/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2860" rIns="0" bIns="22860" anchor="ctr" upright="1">
              <a:spAutoFit/>
            </a:bodyPr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General WB Configure__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0</xdr:colOff>
          <xdr:row>5</xdr:row>
          <xdr:rowOff>0</xdr:rowOff>
        </xdr:from>
        <xdr:ext cx="2085975" cy="223837"/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2860" rIns="0" bIns="22860" anchor="ctr" upright="1">
              <a:spAutoFit/>
            </a:bodyPr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1) Refresh Navigation Hyperlinks__</a:t>
              </a:r>
            </a:p>
          </xdr:txBody>
        </xdr:sp>
        <xdr:clientData fPrintsWithSheet="0"/>
      </xdr:one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ue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ue\Documents\!Data\Maple\OrbitalMech\SpreadsheetFiles\OrbitalElements.xlsm" TargetMode="External"/><Relationship Id="rId1" Type="http://schemas.openxmlformats.org/officeDocument/2006/relationships/externalLinkPath" Target="/Users/belue/Documents/!Data/Maple/OrbitalMech/SpreadsheetFiles/OrbitalElements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ue\Documents\!Data\Maple\OrbitalMech\SpreadsheetFiles\OrbitTools(jb1).xlsm" TargetMode="External"/><Relationship Id="rId1" Type="http://schemas.openxmlformats.org/officeDocument/2006/relationships/externalLinkPath" Target="/Users/belue/Documents/!Data/Maple/OrbitalMech/SpreadsheetFiles/OrbitTools(jb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ButtonList"/>
    </sheetNames>
    <definedNames>
      <definedName name="a_genWB_Config"/>
      <definedName name="lwsTOC"/>
    </defined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elpNotes"/>
      <sheetName val="WS_Navigation"/>
      <sheetName val="V_R-&gt;OrbitElements"/>
      <sheetName val="OrbitElements-&gt;V_R"/>
      <sheetName val="TOF"/>
      <sheetName val="Data1"/>
      <sheetName val="SolarSysData"/>
      <sheetName val="OrbitTypes"/>
      <sheetName val="TestVectors"/>
    </sheetNames>
    <sheetDataSet>
      <sheetData sheetId="0"/>
      <sheetData sheetId="1"/>
      <sheetData sheetId="2"/>
      <sheetData sheetId="3"/>
      <sheetData sheetId="4"/>
      <sheetData sheetId="5"/>
      <sheetData sheetId="6">
        <row r="10">
          <cell r="B10" t="str">
            <v>Sun</v>
          </cell>
          <cell r="N10">
            <v>132712439935.5</v>
          </cell>
        </row>
        <row r="11">
          <cell r="B11" t="str">
            <v>Mercury</v>
          </cell>
          <cell r="N11">
            <v>22032.1</v>
          </cell>
        </row>
        <row r="12">
          <cell r="B12" t="str">
            <v>Venus</v>
          </cell>
          <cell r="N12">
            <v>324858.8</v>
          </cell>
        </row>
        <row r="13">
          <cell r="B13" t="str">
            <v>Earth</v>
          </cell>
          <cell r="N13">
            <v>398600.4</v>
          </cell>
        </row>
        <row r="14">
          <cell r="B14" t="str">
            <v>Mars</v>
          </cell>
          <cell r="N14">
            <v>42828.3</v>
          </cell>
        </row>
        <row r="15">
          <cell r="B15" t="str">
            <v>Jupiter</v>
          </cell>
          <cell r="N15">
            <v>12671199.4</v>
          </cell>
        </row>
        <row r="16">
          <cell r="B16" t="str">
            <v>Saturn</v>
          </cell>
          <cell r="N16">
            <v>37939519.700000003</v>
          </cell>
        </row>
        <row r="17">
          <cell r="B17" t="str">
            <v>Uranus</v>
          </cell>
          <cell r="N17">
            <v>5780158.5</v>
          </cell>
        </row>
        <row r="18">
          <cell r="B18" t="str">
            <v>Neptune</v>
          </cell>
          <cell r="N18">
            <v>6871307.7999999998</v>
          </cell>
        </row>
        <row r="19">
          <cell r="B19" t="str">
            <v>Pluto</v>
          </cell>
          <cell r="N19">
            <v>1020.9</v>
          </cell>
        </row>
      </sheetData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elpNotes"/>
      <sheetName val="WS_Navigation"/>
      <sheetName val="File_Navigation"/>
      <sheetName val="FileList"/>
      <sheetName val="arcFileList"/>
      <sheetName val="P_List"/>
      <sheetName val="Macro_Catalog"/>
      <sheetName val="Macro_Types"/>
      <sheetName val="PlanetData"/>
      <sheetName val="synodic"/>
      <sheetName val="Constan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9">
          <cell r="D9">
            <v>6.6725899999999997E-11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D42C2-509E-4998-B65C-46B60EE15504}">
  <sheetPr codeName="Sheet3"/>
  <dimension ref="A1:B40"/>
  <sheetViews>
    <sheetView zoomScale="80" zoomScaleNormal="80" workbookViewId="0"/>
  </sheetViews>
  <sheetFormatPr defaultRowHeight="12.75" x14ac:dyDescent="0.25"/>
  <cols>
    <col min="1" max="1" width="6.7109375" style="3" customWidth="1"/>
    <col min="2" max="2" width="14.7109375" style="3" customWidth="1"/>
    <col min="3" max="16384" width="9.140625" style="3"/>
  </cols>
  <sheetData>
    <row r="1" spans="1:2" x14ac:dyDescent="0.25">
      <c r="A1" s="8" t="s">
        <v>83</v>
      </c>
      <c r="B1" s="23" t="s">
        <v>82</v>
      </c>
    </row>
    <row r="2" spans="1:2" x14ac:dyDescent="0.25">
      <c r="A2" s="8" t="s">
        <v>84</v>
      </c>
      <c r="B2" s="8" t="s">
        <v>86</v>
      </c>
    </row>
    <row r="3" spans="1:2" x14ac:dyDescent="0.25">
      <c r="A3" s="8" t="s">
        <v>85</v>
      </c>
      <c r="B3" s="8"/>
    </row>
    <row r="4" spans="1:2" x14ac:dyDescent="0.25">
      <c r="A4" s="8"/>
      <c r="B4" s="8"/>
    </row>
    <row r="5" spans="1:2" x14ac:dyDescent="0.25">
      <c r="A5" s="8"/>
      <c r="B5" s="8" t="s">
        <v>87</v>
      </c>
    </row>
    <row r="6" spans="1:2" x14ac:dyDescent="0.25">
      <c r="A6" s="8"/>
      <c r="B6" s="8"/>
    </row>
    <row r="7" spans="1:2" x14ac:dyDescent="0.25">
      <c r="A7" s="8"/>
      <c r="B7" s="8"/>
    </row>
    <row r="8" spans="1:2" x14ac:dyDescent="0.25">
      <c r="A8" s="8"/>
      <c r="B8" s="8" t="s">
        <v>88</v>
      </c>
    </row>
    <row r="9" spans="1:2" x14ac:dyDescent="0.25">
      <c r="A9" s="8"/>
      <c r="B9" s="25" t="s">
        <v>89</v>
      </c>
    </row>
    <row r="10" spans="1:2" x14ac:dyDescent="0.25">
      <c r="A10" s="3">
        <v>1</v>
      </c>
      <c r="B10" s="26" t="str">
        <f>HYPERLINK("#B14", "Change Log")</f>
        <v>Change Log</v>
      </c>
    </row>
    <row r="11" spans="1:2" x14ac:dyDescent="0.25">
      <c r="A11" s="3">
        <v>2</v>
      </c>
      <c r="B11" s="26" t="str">
        <f>HYPERLINK("#B30", "Operation Instructions")</f>
        <v>Operation Instructions</v>
      </c>
    </row>
    <row r="12" spans="1:2" x14ac:dyDescent="0.25">
      <c r="A12" s="3">
        <v>3</v>
      </c>
      <c r="B12" s="26" t="str">
        <f>HYPERLINK("#B40", "Excel Special Setup")</f>
        <v>Excel Special Setup</v>
      </c>
    </row>
    <row r="14" spans="1:2" x14ac:dyDescent="0.25">
      <c r="A14" s="3" t="s">
        <v>90</v>
      </c>
      <c r="B14" s="27" t="s">
        <v>91</v>
      </c>
    </row>
    <row r="30" spans="2:2" x14ac:dyDescent="0.25">
      <c r="B30" s="27" t="s">
        <v>92</v>
      </c>
    </row>
    <row r="40" spans="2:2" x14ac:dyDescent="0.25">
      <c r="B40" s="27" t="s">
        <v>93</v>
      </c>
    </row>
  </sheetData>
  <hyperlinks>
    <hyperlink ref="B1" location="WS_Navigation!B2" tooltip="go to navigation sheet" display="Navigate to Worksheet TOC (table of contents)" xr:uid="{88E4D386-8E4E-47AD-ACA4-9498EA7BDA5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a_genWB_Config">
                <anchor mov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514350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E974F-870F-4CC8-AC85-06E52A789129}">
  <sheetPr codeName="Sheet4"/>
  <dimension ref="A1:C1000"/>
  <sheetViews>
    <sheetView zoomScale="80" zoomScaleNormal="80" workbookViewId="0">
      <selection activeCell="B2" sqref="B2"/>
    </sheetView>
  </sheetViews>
  <sheetFormatPr defaultRowHeight="12.75" x14ac:dyDescent="0.25"/>
  <cols>
    <col min="1" max="1" width="6.7109375" style="3" customWidth="1"/>
    <col min="2" max="2" width="30.7109375" style="3" customWidth="1"/>
    <col min="3" max="3" width="60.7109375" style="3" customWidth="1"/>
    <col min="4" max="16384" width="9.140625" style="3"/>
  </cols>
  <sheetData>
    <row r="1" spans="1:3" x14ac:dyDescent="0.25">
      <c r="A1" s="3" t="s">
        <v>83</v>
      </c>
      <c r="B1" s="8" t="s">
        <v>94</v>
      </c>
    </row>
    <row r="2" spans="1:3" x14ac:dyDescent="0.25">
      <c r="A2" s="3" t="s">
        <v>84</v>
      </c>
      <c r="B2" s="8" t="s">
        <v>95</v>
      </c>
    </row>
    <row r="3" spans="1:3" x14ac:dyDescent="0.25">
      <c r="A3" s="3" t="s">
        <v>85</v>
      </c>
      <c r="B3" s="8"/>
    </row>
    <row r="4" spans="1:3" x14ac:dyDescent="0.25">
      <c r="B4" s="8"/>
    </row>
    <row r="5" spans="1:3" x14ac:dyDescent="0.25">
      <c r="B5" s="8" t="s">
        <v>96</v>
      </c>
    </row>
    <row r="6" spans="1:3" x14ac:dyDescent="0.25">
      <c r="B6" s="8"/>
    </row>
    <row r="7" spans="1:3" x14ac:dyDescent="0.25">
      <c r="B7" s="8"/>
    </row>
    <row r="8" spans="1:3" x14ac:dyDescent="0.25">
      <c r="A8" s="6" t="s">
        <v>90</v>
      </c>
      <c r="B8" s="28" t="s">
        <v>97</v>
      </c>
      <c r="C8" s="28" t="s">
        <v>98</v>
      </c>
    </row>
    <row r="9" spans="1:3" x14ac:dyDescent="0.25">
      <c r="A9" s="6">
        <v>1</v>
      </c>
      <c r="B9" s="35" t="s">
        <v>99</v>
      </c>
      <c r="C9" s="8" t="s">
        <v>86</v>
      </c>
    </row>
    <row r="10" spans="1:3" x14ac:dyDescent="0.25">
      <c r="A10" s="6">
        <v>2</v>
      </c>
      <c r="B10" s="35" t="s">
        <v>100</v>
      </c>
      <c r="C10" s="8" t="s">
        <v>95</v>
      </c>
    </row>
    <row r="11" spans="1:3" x14ac:dyDescent="0.25">
      <c r="A11" s="6">
        <v>3</v>
      </c>
      <c r="B11" s="35" t="s">
        <v>101</v>
      </c>
      <c r="C11" s="8" t="s">
        <v>103</v>
      </c>
    </row>
    <row r="12" spans="1:3" x14ac:dyDescent="0.25">
      <c r="A12" s="6">
        <v>4</v>
      </c>
      <c r="B12" s="35" t="s">
        <v>102</v>
      </c>
      <c r="C12" s="8" t="s">
        <v>104</v>
      </c>
    </row>
    <row r="13" spans="1:3" x14ac:dyDescent="0.25">
      <c r="A13" s="6"/>
      <c r="B13" s="6"/>
      <c r="C13" s="8"/>
    </row>
    <row r="14" spans="1:3" x14ac:dyDescent="0.25">
      <c r="A14" s="6"/>
      <c r="B14" s="6"/>
      <c r="C14" s="8"/>
    </row>
    <row r="15" spans="1:3" x14ac:dyDescent="0.25">
      <c r="A15" s="6"/>
      <c r="B15" s="6"/>
      <c r="C15" s="8"/>
    </row>
    <row r="16" spans="1:3" x14ac:dyDescent="0.25">
      <c r="A16" s="6"/>
      <c r="B16" s="6"/>
      <c r="C16" s="8"/>
    </row>
    <row r="17" spans="1:3" x14ac:dyDescent="0.25">
      <c r="A17" s="6"/>
      <c r="B17" s="6"/>
      <c r="C17" s="8"/>
    </row>
    <row r="18" spans="1:3" x14ac:dyDescent="0.25">
      <c r="A18" s="6"/>
      <c r="B18" s="6"/>
      <c r="C18" s="8"/>
    </row>
    <row r="19" spans="1:3" x14ac:dyDescent="0.25">
      <c r="A19" s="6"/>
      <c r="B19" s="6"/>
      <c r="C19" s="8"/>
    </row>
    <row r="20" spans="1:3" x14ac:dyDescent="0.25">
      <c r="A20" s="6"/>
      <c r="B20" s="6"/>
      <c r="C20" s="8"/>
    </row>
    <row r="21" spans="1:3" x14ac:dyDescent="0.25">
      <c r="A21" s="6"/>
      <c r="B21" s="6"/>
      <c r="C21" s="8"/>
    </row>
    <row r="22" spans="1:3" x14ac:dyDescent="0.25">
      <c r="A22" s="6"/>
      <c r="B22" s="6"/>
    </row>
    <row r="23" spans="1:3" x14ac:dyDescent="0.25">
      <c r="A23" s="6"/>
      <c r="B23" s="6"/>
    </row>
    <row r="24" spans="1:3" x14ac:dyDescent="0.25">
      <c r="A24" s="6"/>
      <c r="B24" s="6"/>
    </row>
    <row r="25" spans="1:3" x14ac:dyDescent="0.25">
      <c r="A25" s="6"/>
      <c r="B25" s="6"/>
    </row>
    <row r="26" spans="1:3" x14ac:dyDescent="0.25">
      <c r="A26" s="6"/>
      <c r="B26" s="6"/>
    </row>
    <row r="27" spans="1:3" x14ac:dyDescent="0.25">
      <c r="A27" s="6"/>
      <c r="B27" s="6"/>
    </row>
    <row r="28" spans="1:3" x14ac:dyDescent="0.25">
      <c r="A28" s="6"/>
      <c r="B28" s="6"/>
    </row>
    <row r="29" spans="1:3" x14ac:dyDescent="0.25">
      <c r="A29" s="6"/>
      <c r="B29" s="6"/>
    </row>
    <row r="30" spans="1:3" x14ac:dyDescent="0.25">
      <c r="A30" s="6"/>
      <c r="B30" s="6"/>
    </row>
    <row r="31" spans="1:3" x14ac:dyDescent="0.25">
      <c r="A31" s="6"/>
      <c r="B31" s="6"/>
    </row>
    <row r="32" spans="1:3" x14ac:dyDescent="0.25">
      <c r="A32" s="6"/>
      <c r="B32" s="6"/>
    </row>
    <row r="33" spans="1:2" x14ac:dyDescent="0.25">
      <c r="A33" s="6"/>
      <c r="B33" s="6"/>
    </row>
    <row r="34" spans="1:2" x14ac:dyDescent="0.25">
      <c r="A34" s="6"/>
      <c r="B34" s="6"/>
    </row>
    <row r="35" spans="1:2" x14ac:dyDescent="0.25">
      <c r="A35" s="6"/>
      <c r="B35" s="6"/>
    </row>
    <row r="36" spans="1:2" x14ac:dyDescent="0.25">
      <c r="A36" s="6"/>
      <c r="B36" s="6"/>
    </row>
    <row r="37" spans="1:2" x14ac:dyDescent="0.25">
      <c r="A37" s="6"/>
      <c r="B37" s="6"/>
    </row>
    <row r="38" spans="1:2" x14ac:dyDescent="0.25">
      <c r="A38" s="6"/>
      <c r="B38" s="6"/>
    </row>
    <row r="39" spans="1:2" x14ac:dyDescent="0.25">
      <c r="A39" s="6"/>
      <c r="B39" s="6"/>
    </row>
    <row r="40" spans="1:2" x14ac:dyDescent="0.25">
      <c r="A40" s="6"/>
      <c r="B40" s="6"/>
    </row>
    <row r="41" spans="1:2" x14ac:dyDescent="0.25">
      <c r="A41" s="6"/>
      <c r="B41" s="6"/>
    </row>
    <row r="42" spans="1:2" x14ac:dyDescent="0.25">
      <c r="A42" s="6"/>
      <c r="B42" s="6"/>
    </row>
    <row r="43" spans="1:2" x14ac:dyDescent="0.25">
      <c r="A43" s="6"/>
      <c r="B43" s="6"/>
    </row>
    <row r="44" spans="1:2" x14ac:dyDescent="0.25">
      <c r="A44" s="6"/>
      <c r="B44" s="6"/>
    </row>
    <row r="45" spans="1:2" x14ac:dyDescent="0.25">
      <c r="A45" s="6"/>
      <c r="B45" s="6"/>
    </row>
    <row r="46" spans="1:2" x14ac:dyDescent="0.25">
      <c r="A46" s="6"/>
      <c r="B46" s="6"/>
    </row>
    <row r="47" spans="1:2" x14ac:dyDescent="0.25">
      <c r="A47" s="6"/>
      <c r="B47" s="6"/>
    </row>
    <row r="48" spans="1:2" x14ac:dyDescent="0.25">
      <c r="A48" s="6"/>
      <c r="B48" s="6"/>
    </row>
    <row r="49" spans="1:2" x14ac:dyDescent="0.25">
      <c r="A49" s="6"/>
      <c r="B49" s="6"/>
    </row>
    <row r="50" spans="1:2" x14ac:dyDescent="0.25">
      <c r="A50" s="6"/>
      <c r="B50" s="6"/>
    </row>
    <row r="51" spans="1:2" x14ac:dyDescent="0.25">
      <c r="A51" s="6"/>
      <c r="B51" s="6"/>
    </row>
    <row r="52" spans="1:2" x14ac:dyDescent="0.25">
      <c r="A52" s="6"/>
      <c r="B52" s="6"/>
    </row>
    <row r="53" spans="1:2" x14ac:dyDescent="0.25">
      <c r="A53" s="6"/>
      <c r="B53" s="6"/>
    </row>
    <row r="54" spans="1:2" x14ac:dyDescent="0.25">
      <c r="A54" s="6"/>
      <c r="B54" s="6"/>
    </row>
    <row r="55" spans="1:2" x14ac:dyDescent="0.25">
      <c r="A55" s="6"/>
      <c r="B55" s="6"/>
    </row>
    <row r="56" spans="1:2" x14ac:dyDescent="0.25">
      <c r="A56" s="6"/>
      <c r="B56" s="6"/>
    </row>
    <row r="57" spans="1:2" x14ac:dyDescent="0.25">
      <c r="A57" s="6"/>
      <c r="B57" s="6"/>
    </row>
    <row r="58" spans="1:2" x14ac:dyDescent="0.25">
      <c r="A58" s="6"/>
      <c r="B58" s="6"/>
    </row>
    <row r="59" spans="1:2" x14ac:dyDescent="0.25">
      <c r="A59" s="6"/>
      <c r="B59" s="6"/>
    </row>
    <row r="60" spans="1:2" x14ac:dyDescent="0.25">
      <c r="A60" s="6"/>
      <c r="B60" s="6"/>
    </row>
    <row r="61" spans="1:2" x14ac:dyDescent="0.25">
      <c r="A61" s="6"/>
      <c r="B61" s="6"/>
    </row>
    <row r="62" spans="1:2" x14ac:dyDescent="0.25">
      <c r="A62" s="6"/>
      <c r="B62" s="6"/>
    </row>
    <row r="63" spans="1:2" x14ac:dyDescent="0.25">
      <c r="A63" s="6"/>
      <c r="B63" s="6"/>
    </row>
    <row r="64" spans="1:2" x14ac:dyDescent="0.25">
      <c r="A64" s="6"/>
      <c r="B64" s="6"/>
    </row>
    <row r="65" spans="1:2" x14ac:dyDescent="0.25">
      <c r="A65" s="6"/>
      <c r="B65" s="6"/>
    </row>
    <row r="66" spans="1:2" x14ac:dyDescent="0.25">
      <c r="A66" s="6"/>
      <c r="B66" s="6"/>
    </row>
    <row r="67" spans="1:2" x14ac:dyDescent="0.25">
      <c r="A67" s="6"/>
      <c r="B67" s="6"/>
    </row>
    <row r="68" spans="1:2" x14ac:dyDescent="0.25">
      <c r="A68" s="6"/>
      <c r="B68" s="6"/>
    </row>
    <row r="69" spans="1:2" x14ac:dyDescent="0.25">
      <c r="A69" s="6"/>
      <c r="B69" s="6"/>
    </row>
    <row r="70" spans="1:2" x14ac:dyDescent="0.25">
      <c r="A70" s="6"/>
      <c r="B70" s="6"/>
    </row>
    <row r="71" spans="1:2" x14ac:dyDescent="0.25">
      <c r="A71" s="6"/>
      <c r="B71" s="6"/>
    </row>
    <row r="72" spans="1:2" x14ac:dyDescent="0.25">
      <c r="A72" s="6"/>
      <c r="B72" s="6"/>
    </row>
    <row r="73" spans="1:2" x14ac:dyDescent="0.25">
      <c r="A73" s="6"/>
      <c r="B73" s="6"/>
    </row>
    <row r="74" spans="1:2" x14ac:dyDescent="0.25">
      <c r="A74" s="6"/>
      <c r="B74" s="6"/>
    </row>
    <row r="75" spans="1:2" x14ac:dyDescent="0.25">
      <c r="A75" s="6"/>
      <c r="B75" s="6"/>
    </row>
    <row r="76" spans="1:2" x14ac:dyDescent="0.25">
      <c r="A76" s="6"/>
      <c r="B76" s="6"/>
    </row>
    <row r="77" spans="1:2" x14ac:dyDescent="0.25">
      <c r="A77" s="6"/>
      <c r="B77" s="6"/>
    </row>
    <row r="78" spans="1:2" x14ac:dyDescent="0.25">
      <c r="A78" s="6"/>
      <c r="B78" s="6"/>
    </row>
    <row r="79" spans="1:2" x14ac:dyDescent="0.25">
      <c r="A79" s="6"/>
      <c r="B79" s="6"/>
    </row>
    <row r="80" spans="1:2" x14ac:dyDescent="0.25">
      <c r="A80" s="6"/>
      <c r="B80" s="6"/>
    </row>
    <row r="81" spans="1:2" x14ac:dyDescent="0.25">
      <c r="A81" s="6"/>
      <c r="B81" s="6"/>
    </row>
    <row r="82" spans="1:2" x14ac:dyDescent="0.25">
      <c r="A82" s="6"/>
      <c r="B82" s="6"/>
    </row>
    <row r="83" spans="1:2" x14ac:dyDescent="0.25">
      <c r="A83" s="6"/>
      <c r="B83" s="6"/>
    </row>
    <row r="84" spans="1:2" x14ac:dyDescent="0.25">
      <c r="A84" s="6"/>
      <c r="B84" s="6"/>
    </row>
    <row r="85" spans="1:2" x14ac:dyDescent="0.25">
      <c r="A85" s="6"/>
      <c r="B85" s="6"/>
    </row>
    <row r="86" spans="1:2" x14ac:dyDescent="0.25">
      <c r="A86" s="6"/>
      <c r="B86" s="6"/>
    </row>
    <row r="87" spans="1:2" x14ac:dyDescent="0.25">
      <c r="A87" s="6"/>
      <c r="B87" s="6"/>
    </row>
    <row r="88" spans="1:2" x14ac:dyDescent="0.25">
      <c r="A88" s="6"/>
      <c r="B88" s="6"/>
    </row>
    <row r="89" spans="1:2" x14ac:dyDescent="0.25">
      <c r="A89" s="6"/>
      <c r="B89" s="6"/>
    </row>
    <row r="90" spans="1:2" x14ac:dyDescent="0.25">
      <c r="A90" s="6"/>
      <c r="B90" s="6"/>
    </row>
    <row r="91" spans="1:2" x14ac:dyDescent="0.25">
      <c r="A91" s="6"/>
      <c r="B91" s="6"/>
    </row>
    <row r="92" spans="1:2" x14ac:dyDescent="0.25">
      <c r="A92" s="6"/>
      <c r="B92" s="6"/>
    </row>
    <row r="93" spans="1:2" x14ac:dyDescent="0.25">
      <c r="A93" s="6"/>
      <c r="B93" s="6"/>
    </row>
    <row r="94" spans="1:2" x14ac:dyDescent="0.25">
      <c r="A94" s="6"/>
      <c r="B94" s="6"/>
    </row>
    <row r="95" spans="1:2" x14ac:dyDescent="0.25">
      <c r="A95" s="6"/>
      <c r="B95" s="6"/>
    </row>
    <row r="96" spans="1:2" x14ac:dyDescent="0.25">
      <c r="A96" s="6"/>
      <c r="B96" s="6"/>
    </row>
    <row r="97" spans="1:2" x14ac:dyDescent="0.25">
      <c r="A97" s="6"/>
      <c r="B97" s="6"/>
    </row>
    <row r="98" spans="1:2" x14ac:dyDescent="0.25">
      <c r="A98" s="6"/>
      <c r="B98" s="6"/>
    </row>
    <row r="99" spans="1:2" x14ac:dyDescent="0.25">
      <c r="A99" s="6"/>
      <c r="B99" s="6"/>
    </row>
    <row r="100" spans="1:2" x14ac:dyDescent="0.25">
      <c r="A100" s="6"/>
      <c r="B100" s="6"/>
    </row>
    <row r="101" spans="1:2" x14ac:dyDescent="0.25">
      <c r="A101" s="6"/>
      <c r="B101" s="6"/>
    </row>
    <row r="102" spans="1:2" x14ac:dyDescent="0.25">
      <c r="A102" s="6"/>
      <c r="B102" s="6"/>
    </row>
    <row r="103" spans="1:2" x14ac:dyDescent="0.25">
      <c r="A103" s="6"/>
      <c r="B103" s="6"/>
    </row>
    <row r="104" spans="1:2" x14ac:dyDescent="0.25">
      <c r="A104" s="6"/>
      <c r="B104" s="6"/>
    </row>
    <row r="105" spans="1:2" x14ac:dyDescent="0.25">
      <c r="A105" s="6"/>
      <c r="B105" s="6"/>
    </row>
    <row r="106" spans="1:2" x14ac:dyDescent="0.25">
      <c r="A106" s="6"/>
      <c r="B106" s="6"/>
    </row>
    <row r="107" spans="1:2" x14ac:dyDescent="0.25">
      <c r="A107" s="6"/>
      <c r="B107" s="6"/>
    </row>
    <row r="108" spans="1:2" x14ac:dyDescent="0.25">
      <c r="A108" s="6"/>
      <c r="B108" s="6"/>
    </row>
    <row r="109" spans="1:2" x14ac:dyDescent="0.25">
      <c r="A109" s="6"/>
      <c r="B109" s="6"/>
    </row>
    <row r="110" spans="1:2" x14ac:dyDescent="0.25">
      <c r="A110" s="6"/>
      <c r="B110" s="6"/>
    </row>
    <row r="111" spans="1:2" x14ac:dyDescent="0.25">
      <c r="A111" s="6"/>
      <c r="B111" s="6"/>
    </row>
    <row r="112" spans="1:2" x14ac:dyDescent="0.25">
      <c r="A112" s="6"/>
      <c r="B112" s="6"/>
    </row>
    <row r="113" spans="1:2" x14ac:dyDescent="0.25">
      <c r="A113" s="6"/>
      <c r="B113" s="6"/>
    </row>
    <row r="114" spans="1:2" x14ac:dyDescent="0.25">
      <c r="A114" s="6"/>
      <c r="B114" s="6"/>
    </row>
    <row r="115" spans="1:2" x14ac:dyDescent="0.25">
      <c r="A115" s="6"/>
      <c r="B115" s="6"/>
    </row>
    <row r="116" spans="1:2" x14ac:dyDescent="0.25">
      <c r="A116" s="6"/>
      <c r="B116" s="6"/>
    </row>
    <row r="117" spans="1:2" x14ac:dyDescent="0.25">
      <c r="A117" s="6"/>
      <c r="B117" s="6"/>
    </row>
    <row r="118" spans="1:2" x14ac:dyDescent="0.25">
      <c r="A118" s="6"/>
      <c r="B118" s="6"/>
    </row>
    <row r="119" spans="1:2" x14ac:dyDescent="0.25">
      <c r="A119" s="6"/>
      <c r="B119" s="6"/>
    </row>
    <row r="120" spans="1:2" x14ac:dyDescent="0.25">
      <c r="A120" s="6"/>
      <c r="B120" s="6"/>
    </row>
    <row r="121" spans="1:2" x14ac:dyDescent="0.25">
      <c r="A121" s="6"/>
      <c r="B121" s="6"/>
    </row>
    <row r="122" spans="1:2" x14ac:dyDescent="0.25">
      <c r="A122" s="6"/>
      <c r="B122" s="6"/>
    </row>
    <row r="123" spans="1:2" x14ac:dyDescent="0.25">
      <c r="A123" s="6"/>
      <c r="B123" s="6"/>
    </row>
    <row r="124" spans="1:2" x14ac:dyDescent="0.25">
      <c r="A124" s="6"/>
      <c r="B124" s="6"/>
    </row>
    <row r="125" spans="1:2" x14ac:dyDescent="0.25">
      <c r="A125" s="6"/>
      <c r="B125" s="6"/>
    </row>
    <row r="126" spans="1:2" x14ac:dyDescent="0.25">
      <c r="A126" s="6"/>
      <c r="B126" s="6"/>
    </row>
    <row r="127" spans="1:2" x14ac:dyDescent="0.25">
      <c r="A127" s="6"/>
      <c r="B127" s="6"/>
    </row>
    <row r="128" spans="1:2" x14ac:dyDescent="0.25">
      <c r="A128" s="6"/>
      <c r="B128" s="6"/>
    </row>
    <row r="129" spans="1:2" x14ac:dyDescent="0.25">
      <c r="A129" s="6"/>
      <c r="B129" s="6"/>
    </row>
    <row r="130" spans="1:2" x14ac:dyDescent="0.25">
      <c r="A130" s="6"/>
      <c r="B130" s="6"/>
    </row>
    <row r="131" spans="1:2" x14ac:dyDescent="0.25">
      <c r="A131" s="6"/>
      <c r="B131" s="6"/>
    </row>
    <row r="132" spans="1:2" x14ac:dyDescent="0.25">
      <c r="A132" s="6"/>
      <c r="B132" s="6"/>
    </row>
    <row r="133" spans="1:2" x14ac:dyDescent="0.25">
      <c r="A133" s="6"/>
      <c r="B133" s="6"/>
    </row>
    <row r="134" spans="1:2" x14ac:dyDescent="0.25">
      <c r="A134" s="6"/>
      <c r="B134" s="6"/>
    </row>
    <row r="135" spans="1:2" x14ac:dyDescent="0.25">
      <c r="A135" s="6"/>
      <c r="B135" s="6"/>
    </row>
    <row r="136" spans="1:2" x14ac:dyDescent="0.25">
      <c r="A136" s="6"/>
      <c r="B136" s="6"/>
    </row>
    <row r="137" spans="1:2" x14ac:dyDescent="0.25">
      <c r="A137" s="6"/>
      <c r="B137" s="6"/>
    </row>
    <row r="138" spans="1:2" x14ac:dyDescent="0.25">
      <c r="A138" s="6"/>
      <c r="B138" s="6"/>
    </row>
    <row r="139" spans="1:2" x14ac:dyDescent="0.25">
      <c r="A139" s="6"/>
      <c r="B139" s="6"/>
    </row>
    <row r="140" spans="1:2" x14ac:dyDescent="0.25">
      <c r="A140" s="6"/>
      <c r="B140" s="6"/>
    </row>
    <row r="141" spans="1:2" x14ac:dyDescent="0.25">
      <c r="A141" s="6"/>
      <c r="B141" s="6"/>
    </row>
    <row r="142" spans="1:2" x14ac:dyDescent="0.25">
      <c r="A142" s="6"/>
      <c r="B142" s="6"/>
    </row>
    <row r="143" spans="1:2" x14ac:dyDescent="0.25">
      <c r="A143" s="6"/>
      <c r="B143" s="6"/>
    </row>
    <row r="144" spans="1:2" x14ac:dyDescent="0.25">
      <c r="A144" s="6"/>
      <c r="B144" s="6"/>
    </row>
    <row r="145" spans="1:2" x14ac:dyDescent="0.25">
      <c r="A145" s="6"/>
      <c r="B145" s="6"/>
    </row>
    <row r="146" spans="1:2" x14ac:dyDescent="0.25">
      <c r="A146" s="6"/>
      <c r="B146" s="6"/>
    </row>
    <row r="147" spans="1:2" x14ac:dyDescent="0.25">
      <c r="A147" s="6"/>
      <c r="B147" s="6"/>
    </row>
    <row r="148" spans="1:2" x14ac:dyDescent="0.25">
      <c r="A148" s="6"/>
      <c r="B148" s="6"/>
    </row>
    <row r="149" spans="1:2" x14ac:dyDescent="0.25">
      <c r="A149" s="6"/>
      <c r="B149" s="6"/>
    </row>
    <row r="150" spans="1:2" x14ac:dyDescent="0.25">
      <c r="A150" s="6"/>
      <c r="B150" s="6"/>
    </row>
    <row r="151" spans="1:2" x14ac:dyDescent="0.25">
      <c r="A151" s="6"/>
      <c r="B151" s="6"/>
    </row>
    <row r="152" spans="1:2" x14ac:dyDescent="0.25">
      <c r="A152" s="6"/>
      <c r="B152" s="6"/>
    </row>
    <row r="153" spans="1:2" x14ac:dyDescent="0.25">
      <c r="A153" s="6"/>
      <c r="B153" s="6"/>
    </row>
    <row r="154" spans="1:2" x14ac:dyDescent="0.25">
      <c r="A154" s="6"/>
      <c r="B154" s="6"/>
    </row>
    <row r="155" spans="1:2" x14ac:dyDescent="0.25">
      <c r="A155" s="6"/>
      <c r="B155" s="6"/>
    </row>
    <row r="156" spans="1:2" x14ac:dyDescent="0.25">
      <c r="A156" s="6"/>
      <c r="B156" s="6"/>
    </row>
    <row r="157" spans="1:2" x14ac:dyDescent="0.25">
      <c r="A157" s="6"/>
      <c r="B157" s="6"/>
    </row>
    <row r="158" spans="1:2" x14ac:dyDescent="0.25">
      <c r="A158" s="6"/>
      <c r="B158" s="6"/>
    </row>
    <row r="159" spans="1:2" x14ac:dyDescent="0.25">
      <c r="A159" s="6"/>
      <c r="B159" s="6"/>
    </row>
    <row r="160" spans="1:2" x14ac:dyDescent="0.25">
      <c r="A160" s="6"/>
      <c r="B160" s="6"/>
    </row>
    <row r="161" spans="1:2" x14ac:dyDescent="0.25">
      <c r="A161" s="6"/>
      <c r="B161" s="6"/>
    </row>
    <row r="162" spans="1:2" x14ac:dyDescent="0.25">
      <c r="A162" s="6"/>
      <c r="B162" s="6"/>
    </row>
    <row r="163" spans="1:2" x14ac:dyDescent="0.25">
      <c r="A163" s="6"/>
      <c r="B163" s="6"/>
    </row>
    <row r="164" spans="1:2" x14ac:dyDescent="0.25">
      <c r="A164" s="6"/>
      <c r="B164" s="6"/>
    </row>
    <row r="165" spans="1:2" x14ac:dyDescent="0.25">
      <c r="A165" s="6"/>
      <c r="B165" s="6"/>
    </row>
    <row r="166" spans="1:2" x14ac:dyDescent="0.25">
      <c r="A166" s="6"/>
      <c r="B166" s="6"/>
    </row>
    <row r="167" spans="1:2" x14ac:dyDescent="0.25">
      <c r="A167" s="6"/>
      <c r="B167" s="6"/>
    </row>
    <row r="168" spans="1:2" x14ac:dyDescent="0.25">
      <c r="A168" s="6"/>
      <c r="B168" s="6"/>
    </row>
    <row r="169" spans="1:2" x14ac:dyDescent="0.25">
      <c r="A169" s="6"/>
      <c r="B169" s="6"/>
    </row>
    <row r="170" spans="1:2" x14ac:dyDescent="0.25">
      <c r="A170" s="6"/>
      <c r="B170" s="6"/>
    </row>
    <row r="171" spans="1:2" x14ac:dyDescent="0.25">
      <c r="A171" s="6"/>
      <c r="B171" s="6"/>
    </row>
    <row r="172" spans="1:2" x14ac:dyDescent="0.25">
      <c r="A172" s="6"/>
      <c r="B172" s="6"/>
    </row>
    <row r="173" spans="1:2" x14ac:dyDescent="0.25">
      <c r="A173" s="6"/>
      <c r="B173" s="6"/>
    </row>
    <row r="174" spans="1:2" x14ac:dyDescent="0.25">
      <c r="A174" s="6"/>
      <c r="B174" s="6"/>
    </row>
    <row r="175" spans="1:2" x14ac:dyDescent="0.25">
      <c r="A175" s="6"/>
      <c r="B175" s="6"/>
    </row>
    <row r="176" spans="1:2" x14ac:dyDescent="0.25">
      <c r="A176" s="6"/>
      <c r="B176" s="6"/>
    </row>
    <row r="177" spans="1:2" x14ac:dyDescent="0.25">
      <c r="A177" s="6"/>
      <c r="B177" s="6"/>
    </row>
    <row r="178" spans="1:2" x14ac:dyDescent="0.25">
      <c r="A178" s="6"/>
      <c r="B178" s="6"/>
    </row>
    <row r="179" spans="1:2" x14ac:dyDescent="0.25">
      <c r="A179" s="6"/>
      <c r="B179" s="6"/>
    </row>
    <row r="180" spans="1:2" x14ac:dyDescent="0.25">
      <c r="A180" s="6"/>
      <c r="B180" s="6"/>
    </row>
    <row r="181" spans="1:2" x14ac:dyDescent="0.25">
      <c r="A181" s="6"/>
      <c r="B181" s="6"/>
    </row>
    <row r="182" spans="1:2" x14ac:dyDescent="0.25">
      <c r="A182" s="6"/>
      <c r="B182" s="6"/>
    </row>
    <row r="183" spans="1:2" x14ac:dyDescent="0.25">
      <c r="A183" s="6"/>
      <c r="B183" s="6"/>
    </row>
    <row r="184" spans="1:2" x14ac:dyDescent="0.25">
      <c r="A184" s="6"/>
      <c r="B184" s="6"/>
    </row>
    <row r="185" spans="1:2" x14ac:dyDescent="0.25">
      <c r="A185" s="6"/>
      <c r="B185" s="6"/>
    </row>
    <row r="186" spans="1:2" x14ac:dyDescent="0.25">
      <c r="A186" s="6"/>
      <c r="B186" s="6"/>
    </row>
    <row r="187" spans="1:2" x14ac:dyDescent="0.25">
      <c r="A187" s="6"/>
      <c r="B187" s="6"/>
    </row>
    <row r="188" spans="1:2" x14ac:dyDescent="0.25">
      <c r="A188" s="6"/>
      <c r="B188" s="6"/>
    </row>
    <row r="189" spans="1:2" x14ac:dyDescent="0.25">
      <c r="A189" s="6"/>
      <c r="B189" s="6"/>
    </row>
    <row r="190" spans="1:2" x14ac:dyDescent="0.25">
      <c r="A190" s="6"/>
      <c r="B190" s="6"/>
    </row>
    <row r="191" spans="1:2" x14ac:dyDescent="0.25">
      <c r="A191" s="6"/>
      <c r="B191" s="6"/>
    </row>
    <row r="192" spans="1:2" x14ac:dyDescent="0.25">
      <c r="A192" s="6"/>
      <c r="B192" s="6"/>
    </row>
    <row r="193" spans="1:2" x14ac:dyDescent="0.25">
      <c r="A193" s="6"/>
      <c r="B193" s="6"/>
    </row>
    <row r="194" spans="1:2" x14ac:dyDescent="0.25">
      <c r="A194" s="6"/>
      <c r="B194" s="6"/>
    </row>
    <row r="195" spans="1:2" x14ac:dyDescent="0.25">
      <c r="A195" s="6"/>
      <c r="B195" s="6"/>
    </row>
    <row r="196" spans="1:2" x14ac:dyDescent="0.25">
      <c r="A196" s="6"/>
      <c r="B196" s="6"/>
    </row>
    <row r="197" spans="1:2" x14ac:dyDescent="0.25">
      <c r="A197" s="6"/>
      <c r="B197" s="6"/>
    </row>
    <row r="198" spans="1:2" x14ac:dyDescent="0.25">
      <c r="A198" s="6"/>
      <c r="B198" s="6"/>
    </row>
    <row r="199" spans="1:2" x14ac:dyDescent="0.25">
      <c r="A199" s="6"/>
      <c r="B199" s="6"/>
    </row>
    <row r="200" spans="1:2" x14ac:dyDescent="0.25">
      <c r="A200" s="6"/>
      <c r="B200" s="6"/>
    </row>
    <row r="201" spans="1:2" x14ac:dyDescent="0.25">
      <c r="A201" s="6"/>
      <c r="B201" s="6"/>
    </row>
    <row r="202" spans="1:2" x14ac:dyDescent="0.25">
      <c r="A202" s="6"/>
      <c r="B202" s="6"/>
    </row>
    <row r="203" spans="1:2" x14ac:dyDescent="0.25">
      <c r="A203" s="6"/>
      <c r="B203" s="6"/>
    </row>
    <row r="204" spans="1:2" x14ac:dyDescent="0.25">
      <c r="A204" s="6"/>
      <c r="B204" s="6"/>
    </row>
    <row r="205" spans="1:2" x14ac:dyDescent="0.25">
      <c r="A205" s="6"/>
      <c r="B205" s="6"/>
    </row>
    <row r="206" spans="1:2" x14ac:dyDescent="0.25">
      <c r="A206" s="6"/>
      <c r="B206" s="6"/>
    </row>
    <row r="207" spans="1:2" x14ac:dyDescent="0.25">
      <c r="A207" s="6"/>
      <c r="B207" s="6"/>
    </row>
    <row r="208" spans="1:2" x14ac:dyDescent="0.25">
      <c r="A208" s="6"/>
      <c r="B208" s="6"/>
    </row>
    <row r="209" spans="1:2" x14ac:dyDescent="0.25">
      <c r="A209" s="6"/>
      <c r="B209" s="6"/>
    </row>
    <row r="210" spans="1:2" x14ac:dyDescent="0.25">
      <c r="A210" s="6"/>
      <c r="B210" s="6"/>
    </row>
    <row r="211" spans="1:2" x14ac:dyDescent="0.25">
      <c r="A211" s="6"/>
      <c r="B211" s="6"/>
    </row>
    <row r="212" spans="1:2" x14ac:dyDescent="0.25">
      <c r="A212" s="6"/>
      <c r="B212" s="6"/>
    </row>
    <row r="213" spans="1:2" x14ac:dyDescent="0.25">
      <c r="A213" s="6"/>
      <c r="B213" s="6"/>
    </row>
    <row r="214" spans="1:2" x14ac:dyDescent="0.25">
      <c r="A214" s="6"/>
      <c r="B214" s="6"/>
    </row>
    <row r="215" spans="1:2" x14ac:dyDescent="0.25">
      <c r="A215" s="6"/>
      <c r="B215" s="6"/>
    </row>
    <row r="216" spans="1:2" x14ac:dyDescent="0.25">
      <c r="A216" s="6"/>
      <c r="B216" s="6"/>
    </row>
    <row r="217" spans="1:2" x14ac:dyDescent="0.25">
      <c r="A217" s="6"/>
      <c r="B217" s="6"/>
    </row>
    <row r="218" spans="1:2" x14ac:dyDescent="0.25">
      <c r="A218" s="6"/>
      <c r="B218" s="6"/>
    </row>
    <row r="219" spans="1:2" x14ac:dyDescent="0.25">
      <c r="A219" s="6"/>
      <c r="B219" s="6"/>
    </row>
    <row r="220" spans="1:2" x14ac:dyDescent="0.25">
      <c r="A220" s="6"/>
      <c r="B220" s="6"/>
    </row>
    <row r="221" spans="1:2" x14ac:dyDescent="0.25">
      <c r="A221" s="6"/>
      <c r="B221" s="6"/>
    </row>
    <row r="222" spans="1:2" x14ac:dyDescent="0.25">
      <c r="A222" s="6"/>
      <c r="B222" s="6"/>
    </row>
    <row r="223" spans="1:2" x14ac:dyDescent="0.25">
      <c r="A223" s="6"/>
      <c r="B223" s="6"/>
    </row>
    <row r="224" spans="1:2" x14ac:dyDescent="0.25">
      <c r="A224" s="6"/>
      <c r="B224" s="6"/>
    </row>
    <row r="225" spans="1:2" x14ac:dyDescent="0.25">
      <c r="A225" s="6"/>
      <c r="B225" s="6"/>
    </row>
    <row r="226" spans="1:2" x14ac:dyDescent="0.25">
      <c r="A226" s="6"/>
      <c r="B226" s="6"/>
    </row>
    <row r="227" spans="1:2" x14ac:dyDescent="0.25">
      <c r="A227" s="6"/>
      <c r="B227" s="6"/>
    </row>
    <row r="228" spans="1:2" x14ac:dyDescent="0.25">
      <c r="A228" s="6"/>
      <c r="B228" s="6"/>
    </row>
    <row r="229" spans="1:2" x14ac:dyDescent="0.25">
      <c r="A229" s="6"/>
      <c r="B229" s="6"/>
    </row>
    <row r="230" spans="1:2" x14ac:dyDescent="0.25">
      <c r="A230" s="6"/>
      <c r="B230" s="6"/>
    </row>
    <row r="231" spans="1:2" x14ac:dyDescent="0.25">
      <c r="A231" s="6"/>
      <c r="B231" s="6"/>
    </row>
    <row r="232" spans="1:2" x14ac:dyDescent="0.25">
      <c r="A232" s="6"/>
      <c r="B232" s="6"/>
    </row>
    <row r="233" spans="1:2" x14ac:dyDescent="0.25">
      <c r="A233" s="6"/>
      <c r="B233" s="6"/>
    </row>
    <row r="234" spans="1:2" x14ac:dyDescent="0.25">
      <c r="A234" s="6"/>
      <c r="B234" s="6"/>
    </row>
    <row r="235" spans="1:2" x14ac:dyDescent="0.25">
      <c r="A235" s="6"/>
      <c r="B235" s="6"/>
    </row>
    <row r="236" spans="1:2" x14ac:dyDescent="0.25">
      <c r="A236" s="6"/>
      <c r="B236" s="6"/>
    </row>
    <row r="237" spans="1:2" x14ac:dyDescent="0.25">
      <c r="A237" s="6"/>
      <c r="B237" s="6"/>
    </row>
    <row r="238" spans="1:2" x14ac:dyDescent="0.25">
      <c r="A238" s="6"/>
      <c r="B238" s="6"/>
    </row>
    <row r="239" spans="1:2" x14ac:dyDescent="0.25">
      <c r="A239" s="6"/>
      <c r="B239" s="6"/>
    </row>
    <row r="240" spans="1:2" x14ac:dyDescent="0.25">
      <c r="A240" s="6"/>
      <c r="B240" s="6"/>
    </row>
    <row r="241" spans="1:2" x14ac:dyDescent="0.25">
      <c r="A241" s="6"/>
      <c r="B241" s="6"/>
    </row>
    <row r="242" spans="1:2" x14ac:dyDescent="0.25">
      <c r="A242" s="6"/>
      <c r="B242" s="6"/>
    </row>
    <row r="243" spans="1:2" x14ac:dyDescent="0.25">
      <c r="A243" s="6"/>
      <c r="B243" s="6"/>
    </row>
    <row r="244" spans="1:2" x14ac:dyDescent="0.25">
      <c r="A244" s="6"/>
      <c r="B244" s="6"/>
    </row>
    <row r="245" spans="1:2" x14ac:dyDescent="0.25">
      <c r="A245" s="6"/>
      <c r="B245" s="6"/>
    </row>
    <row r="246" spans="1:2" x14ac:dyDescent="0.25">
      <c r="A246" s="6"/>
      <c r="B246" s="6"/>
    </row>
    <row r="247" spans="1:2" x14ac:dyDescent="0.25">
      <c r="A247" s="6"/>
      <c r="B247" s="6"/>
    </row>
    <row r="248" spans="1:2" x14ac:dyDescent="0.25">
      <c r="A248" s="6"/>
      <c r="B248" s="6"/>
    </row>
    <row r="249" spans="1:2" x14ac:dyDescent="0.25">
      <c r="A249" s="6"/>
      <c r="B249" s="6"/>
    </row>
    <row r="250" spans="1:2" x14ac:dyDescent="0.25">
      <c r="A250" s="6"/>
      <c r="B250" s="6"/>
    </row>
    <row r="251" spans="1:2" x14ac:dyDescent="0.25">
      <c r="A251" s="6"/>
      <c r="B251" s="6"/>
    </row>
    <row r="252" spans="1:2" x14ac:dyDescent="0.25">
      <c r="A252" s="6"/>
      <c r="B252" s="6"/>
    </row>
    <row r="253" spans="1:2" x14ac:dyDescent="0.25">
      <c r="A253" s="6"/>
      <c r="B253" s="6"/>
    </row>
    <row r="254" spans="1:2" x14ac:dyDescent="0.25">
      <c r="A254" s="6"/>
      <c r="B254" s="6"/>
    </row>
    <row r="255" spans="1:2" x14ac:dyDescent="0.25">
      <c r="A255" s="6"/>
      <c r="B255" s="6"/>
    </row>
    <row r="256" spans="1:2" x14ac:dyDescent="0.25">
      <c r="A256" s="6"/>
      <c r="B256" s="6"/>
    </row>
    <row r="257" spans="1:2" x14ac:dyDescent="0.25">
      <c r="A257" s="6"/>
      <c r="B257" s="6"/>
    </row>
    <row r="258" spans="1:2" x14ac:dyDescent="0.25">
      <c r="A258" s="6"/>
      <c r="B258" s="6"/>
    </row>
    <row r="259" spans="1:2" x14ac:dyDescent="0.25">
      <c r="A259" s="6"/>
      <c r="B259" s="6"/>
    </row>
    <row r="260" spans="1:2" x14ac:dyDescent="0.25">
      <c r="A260" s="6"/>
      <c r="B260" s="6"/>
    </row>
    <row r="261" spans="1:2" x14ac:dyDescent="0.25">
      <c r="A261" s="6"/>
      <c r="B261" s="6"/>
    </row>
    <row r="262" spans="1:2" x14ac:dyDescent="0.25">
      <c r="A262" s="6"/>
      <c r="B262" s="6"/>
    </row>
    <row r="263" spans="1:2" x14ac:dyDescent="0.25">
      <c r="A263" s="6"/>
      <c r="B263" s="6"/>
    </row>
    <row r="264" spans="1:2" x14ac:dyDescent="0.25">
      <c r="A264" s="6"/>
      <c r="B264" s="6"/>
    </row>
    <row r="265" spans="1:2" x14ac:dyDescent="0.25">
      <c r="A265" s="6"/>
      <c r="B265" s="6"/>
    </row>
    <row r="266" spans="1:2" x14ac:dyDescent="0.25">
      <c r="A266" s="6"/>
      <c r="B266" s="6"/>
    </row>
    <row r="267" spans="1:2" x14ac:dyDescent="0.25">
      <c r="A267" s="6"/>
      <c r="B267" s="6"/>
    </row>
    <row r="268" spans="1:2" x14ac:dyDescent="0.25">
      <c r="A268" s="6"/>
      <c r="B268" s="6"/>
    </row>
    <row r="269" spans="1:2" x14ac:dyDescent="0.25">
      <c r="A269" s="6"/>
      <c r="B269" s="6"/>
    </row>
    <row r="270" spans="1:2" x14ac:dyDescent="0.25">
      <c r="A270" s="6"/>
      <c r="B270" s="6"/>
    </row>
    <row r="271" spans="1:2" x14ac:dyDescent="0.25">
      <c r="A271" s="6"/>
      <c r="B271" s="6"/>
    </row>
    <row r="272" spans="1:2" x14ac:dyDescent="0.25">
      <c r="A272" s="6"/>
      <c r="B272" s="6"/>
    </row>
    <row r="273" spans="1:2" x14ac:dyDescent="0.25">
      <c r="A273" s="6"/>
      <c r="B273" s="6"/>
    </row>
    <row r="274" spans="1:2" x14ac:dyDescent="0.25">
      <c r="A274" s="6"/>
      <c r="B274" s="6"/>
    </row>
    <row r="275" spans="1:2" x14ac:dyDescent="0.25">
      <c r="A275" s="6"/>
      <c r="B275" s="6"/>
    </row>
    <row r="276" spans="1:2" x14ac:dyDescent="0.25">
      <c r="A276" s="6"/>
      <c r="B276" s="6"/>
    </row>
    <row r="277" spans="1:2" x14ac:dyDescent="0.25">
      <c r="A277" s="6"/>
      <c r="B277" s="6"/>
    </row>
    <row r="278" spans="1:2" x14ac:dyDescent="0.25">
      <c r="A278" s="6"/>
      <c r="B278" s="6"/>
    </row>
    <row r="279" spans="1:2" x14ac:dyDescent="0.25">
      <c r="A279" s="6"/>
      <c r="B279" s="6"/>
    </row>
    <row r="280" spans="1:2" x14ac:dyDescent="0.25">
      <c r="A280" s="6"/>
      <c r="B280" s="6"/>
    </row>
    <row r="281" spans="1:2" x14ac:dyDescent="0.25">
      <c r="A281" s="6"/>
      <c r="B281" s="6"/>
    </row>
    <row r="282" spans="1:2" x14ac:dyDescent="0.25">
      <c r="A282" s="6"/>
      <c r="B282" s="6"/>
    </row>
    <row r="283" spans="1:2" x14ac:dyDescent="0.25">
      <c r="A283" s="6"/>
      <c r="B283" s="6"/>
    </row>
    <row r="284" spans="1:2" x14ac:dyDescent="0.25">
      <c r="A284" s="6"/>
      <c r="B284" s="6"/>
    </row>
    <row r="285" spans="1:2" x14ac:dyDescent="0.25">
      <c r="A285" s="6"/>
      <c r="B285" s="6"/>
    </row>
    <row r="286" spans="1:2" x14ac:dyDescent="0.25">
      <c r="A286" s="6"/>
      <c r="B286" s="6"/>
    </row>
    <row r="287" spans="1:2" x14ac:dyDescent="0.25">
      <c r="A287" s="6"/>
      <c r="B287" s="6"/>
    </row>
    <row r="288" spans="1:2" x14ac:dyDescent="0.25">
      <c r="A288" s="6"/>
      <c r="B288" s="6"/>
    </row>
    <row r="289" spans="1:2" x14ac:dyDescent="0.25">
      <c r="A289" s="6"/>
      <c r="B289" s="6"/>
    </row>
    <row r="290" spans="1:2" x14ac:dyDescent="0.25">
      <c r="A290" s="6"/>
      <c r="B290" s="6"/>
    </row>
    <row r="291" spans="1:2" x14ac:dyDescent="0.25">
      <c r="A291" s="6"/>
      <c r="B291" s="6"/>
    </row>
    <row r="292" spans="1:2" x14ac:dyDescent="0.25">
      <c r="A292" s="6"/>
      <c r="B292" s="6"/>
    </row>
    <row r="293" spans="1:2" x14ac:dyDescent="0.25">
      <c r="A293" s="6"/>
      <c r="B293" s="6"/>
    </row>
    <row r="294" spans="1:2" x14ac:dyDescent="0.25">
      <c r="A294" s="6"/>
      <c r="B294" s="6"/>
    </row>
    <row r="295" spans="1:2" x14ac:dyDescent="0.25">
      <c r="A295" s="6"/>
      <c r="B295" s="6"/>
    </row>
    <row r="296" spans="1:2" x14ac:dyDescent="0.25">
      <c r="A296" s="6"/>
      <c r="B296" s="6"/>
    </row>
    <row r="297" spans="1:2" x14ac:dyDescent="0.25">
      <c r="A297" s="6"/>
      <c r="B297" s="6"/>
    </row>
    <row r="298" spans="1:2" x14ac:dyDescent="0.25">
      <c r="A298" s="6"/>
      <c r="B298" s="6"/>
    </row>
    <row r="299" spans="1:2" x14ac:dyDescent="0.25">
      <c r="A299" s="6"/>
      <c r="B299" s="6"/>
    </row>
    <row r="300" spans="1:2" x14ac:dyDescent="0.25">
      <c r="A300" s="6"/>
      <c r="B300" s="6"/>
    </row>
    <row r="301" spans="1:2" x14ac:dyDescent="0.25">
      <c r="A301" s="6"/>
      <c r="B301" s="6"/>
    </row>
    <row r="302" spans="1:2" x14ac:dyDescent="0.25">
      <c r="A302" s="6"/>
      <c r="B302" s="6"/>
    </row>
    <row r="303" spans="1:2" x14ac:dyDescent="0.25">
      <c r="A303" s="6"/>
      <c r="B303" s="6"/>
    </row>
    <row r="304" spans="1:2" x14ac:dyDescent="0.25">
      <c r="A304" s="6"/>
      <c r="B304" s="6"/>
    </row>
    <row r="305" spans="1:2" x14ac:dyDescent="0.25">
      <c r="A305" s="6"/>
      <c r="B305" s="6"/>
    </row>
    <row r="306" spans="1:2" x14ac:dyDescent="0.25">
      <c r="A306" s="6"/>
      <c r="B306" s="6"/>
    </row>
    <row r="307" spans="1:2" x14ac:dyDescent="0.25">
      <c r="A307" s="6"/>
      <c r="B307" s="6"/>
    </row>
    <row r="308" spans="1:2" x14ac:dyDescent="0.25">
      <c r="A308" s="6"/>
      <c r="B308" s="6"/>
    </row>
    <row r="309" spans="1:2" x14ac:dyDescent="0.25">
      <c r="A309" s="6"/>
      <c r="B309" s="6"/>
    </row>
    <row r="310" spans="1:2" x14ac:dyDescent="0.25">
      <c r="A310" s="6"/>
      <c r="B310" s="6"/>
    </row>
    <row r="311" spans="1:2" x14ac:dyDescent="0.25">
      <c r="A311" s="6"/>
      <c r="B311" s="6"/>
    </row>
    <row r="312" spans="1:2" x14ac:dyDescent="0.25">
      <c r="A312" s="6"/>
      <c r="B312" s="6"/>
    </row>
    <row r="313" spans="1:2" x14ac:dyDescent="0.25">
      <c r="A313" s="6"/>
      <c r="B313" s="6"/>
    </row>
    <row r="314" spans="1:2" x14ac:dyDescent="0.25">
      <c r="A314" s="6"/>
      <c r="B314" s="6"/>
    </row>
    <row r="315" spans="1:2" x14ac:dyDescent="0.25">
      <c r="A315" s="6"/>
      <c r="B315" s="6"/>
    </row>
    <row r="316" spans="1:2" x14ac:dyDescent="0.25">
      <c r="A316" s="6"/>
      <c r="B316" s="6"/>
    </row>
    <row r="317" spans="1:2" x14ac:dyDescent="0.25">
      <c r="A317" s="6"/>
      <c r="B317" s="6"/>
    </row>
    <row r="318" spans="1:2" x14ac:dyDescent="0.25">
      <c r="A318" s="6"/>
      <c r="B318" s="6"/>
    </row>
    <row r="319" spans="1:2" x14ac:dyDescent="0.25">
      <c r="A319" s="6"/>
      <c r="B319" s="6"/>
    </row>
    <row r="320" spans="1:2" x14ac:dyDescent="0.25">
      <c r="A320" s="6"/>
      <c r="B320" s="6"/>
    </row>
    <row r="321" spans="1:2" x14ac:dyDescent="0.25">
      <c r="A321" s="6"/>
      <c r="B321" s="6"/>
    </row>
    <row r="322" spans="1:2" x14ac:dyDescent="0.25">
      <c r="A322" s="6"/>
      <c r="B322" s="6"/>
    </row>
    <row r="323" spans="1:2" x14ac:dyDescent="0.25">
      <c r="A323" s="6"/>
      <c r="B323" s="6"/>
    </row>
    <row r="324" spans="1:2" x14ac:dyDescent="0.25">
      <c r="A324" s="6"/>
      <c r="B324" s="6"/>
    </row>
    <row r="325" spans="1:2" x14ac:dyDescent="0.25">
      <c r="A325" s="6"/>
      <c r="B325" s="6"/>
    </row>
    <row r="326" spans="1:2" x14ac:dyDescent="0.25">
      <c r="A326" s="6"/>
      <c r="B326" s="6"/>
    </row>
    <row r="327" spans="1:2" x14ac:dyDescent="0.25">
      <c r="A327" s="6"/>
      <c r="B327" s="6"/>
    </row>
    <row r="328" spans="1:2" x14ac:dyDescent="0.25">
      <c r="A328" s="6"/>
      <c r="B328" s="6"/>
    </row>
    <row r="329" spans="1:2" x14ac:dyDescent="0.25">
      <c r="A329" s="6"/>
      <c r="B329" s="6"/>
    </row>
    <row r="330" spans="1:2" x14ac:dyDescent="0.25">
      <c r="A330" s="6"/>
      <c r="B330" s="6"/>
    </row>
    <row r="331" spans="1:2" x14ac:dyDescent="0.25">
      <c r="A331" s="6"/>
      <c r="B331" s="6"/>
    </row>
    <row r="332" spans="1:2" x14ac:dyDescent="0.25">
      <c r="A332" s="6"/>
      <c r="B332" s="6"/>
    </row>
    <row r="333" spans="1:2" x14ac:dyDescent="0.25">
      <c r="A333" s="6"/>
      <c r="B333" s="6"/>
    </row>
    <row r="334" spans="1:2" x14ac:dyDescent="0.25">
      <c r="A334" s="6"/>
      <c r="B334" s="6"/>
    </row>
    <row r="335" spans="1:2" x14ac:dyDescent="0.25">
      <c r="A335" s="6"/>
      <c r="B335" s="6"/>
    </row>
    <row r="336" spans="1:2" x14ac:dyDescent="0.25">
      <c r="A336" s="6"/>
      <c r="B336" s="6"/>
    </row>
    <row r="337" spans="1:2" x14ac:dyDescent="0.25">
      <c r="A337" s="6"/>
      <c r="B337" s="6"/>
    </row>
    <row r="338" spans="1:2" x14ac:dyDescent="0.25">
      <c r="A338" s="6"/>
      <c r="B338" s="6"/>
    </row>
    <row r="339" spans="1:2" x14ac:dyDescent="0.25">
      <c r="A339" s="6"/>
      <c r="B339" s="6"/>
    </row>
    <row r="340" spans="1:2" x14ac:dyDescent="0.25">
      <c r="A340" s="6"/>
      <c r="B340" s="6"/>
    </row>
    <row r="341" spans="1:2" x14ac:dyDescent="0.25">
      <c r="A341" s="6"/>
      <c r="B341" s="6"/>
    </row>
    <row r="342" spans="1:2" x14ac:dyDescent="0.25">
      <c r="A342" s="6"/>
      <c r="B342" s="6"/>
    </row>
    <row r="343" spans="1:2" x14ac:dyDescent="0.25">
      <c r="A343" s="6"/>
      <c r="B343" s="6"/>
    </row>
    <row r="344" spans="1:2" x14ac:dyDescent="0.25">
      <c r="A344" s="6"/>
      <c r="B344" s="6"/>
    </row>
    <row r="345" spans="1:2" x14ac:dyDescent="0.25">
      <c r="A345" s="6"/>
      <c r="B345" s="6"/>
    </row>
    <row r="346" spans="1:2" x14ac:dyDescent="0.25">
      <c r="A346" s="6"/>
      <c r="B346" s="6"/>
    </row>
    <row r="347" spans="1:2" x14ac:dyDescent="0.25">
      <c r="A347" s="6"/>
      <c r="B347" s="6"/>
    </row>
    <row r="348" spans="1:2" x14ac:dyDescent="0.25">
      <c r="A348" s="6"/>
      <c r="B348" s="6"/>
    </row>
    <row r="349" spans="1:2" x14ac:dyDescent="0.25">
      <c r="A349" s="6"/>
      <c r="B349" s="6"/>
    </row>
    <row r="350" spans="1:2" x14ac:dyDescent="0.25">
      <c r="A350" s="6"/>
      <c r="B350" s="6"/>
    </row>
    <row r="351" spans="1:2" x14ac:dyDescent="0.25">
      <c r="A351" s="6"/>
      <c r="B351" s="6"/>
    </row>
    <row r="352" spans="1:2" x14ac:dyDescent="0.25">
      <c r="A352" s="6"/>
      <c r="B352" s="6"/>
    </row>
    <row r="353" spans="1:2" x14ac:dyDescent="0.25">
      <c r="A353" s="6"/>
      <c r="B353" s="6"/>
    </row>
    <row r="354" spans="1:2" x14ac:dyDescent="0.25">
      <c r="A354" s="6"/>
      <c r="B354" s="6"/>
    </row>
    <row r="355" spans="1:2" x14ac:dyDescent="0.25">
      <c r="A355" s="6"/>
      <c r="B355" s="6"/>
    </row>
    <row r="356" spans="1:2" x14ac:dyDescent="0.25">
      <c r="A356" s="6"/>
      <c r="B356" s="6"/>
    </row>
    <row r="357" spans="1:2" x14ac:dyDescent="0.25">
      <c r="A357" s="6"/>
      <c r="B357" s="6"/>
    </row>
    <row r="358" spans="1:2" x14ac:dyDescent="0.25">
      <c r="A358" s="6"/>
      <c r="B358" s="6"/>
    </row>
    <row r="359" spans="1:2" x14ac:dyDescent="0.25">
      <c r="A359" s="6"/>
      <c r="B359" s="6"/>
    </row>
    <row r="360" spans="1:2" x14ac:dyDescent="0.25">
      <c r="A360" s="6"/>
      <c r="B360" s="6"/>
    </row>
    <row r="361" spans="1:2" x14ac:dyDescent="0.25">
      <c r="A361" s="6"/>
      <c r="B361" s="6"/>
    </row>
    <row r="362" spans="1:2" x14ac:dyDescent="0.25">
      <c r="A362" s="6"/>
      <c r="B362" s="6"/>
    </row>
    <row r="363" spans="1:2" x14ac:dyDescent="0.25">
      <c r="A363" s="6"/>
      <c r="B363" s="6"/>
    </row>
    <row r="364" spans="1:2" x14ac:dyDescent="0.25">
      <c r="A364" s="6"/>
      <c r="B364" s="6"/>
    </row>
    <row r="365" spans="1:2" x14ac:dyDescent="0.25">
      <c r="A365" s="6"/>
      <c r="B365" s="6"/>
    </row>
    <row r="366" spans="1:2" x14ac:dyDescent="0.25">
      <c r="A366" s="6"/>
      <c r="B366" s="6"/>
    </row>
    <row r="367" spans="1:2" x14ac:dyDescent="0.25">
      <c r="A367" s="6"/>
      <c r="B367" s="6"/>
    </row>
    <row r="368" spans="1:2" x14ac:dyDescent="0.25">
      <c r="A368" s="6"/>
      <c r="B368" s="6"/>
    </row>
    <row r="369" spans="1:2" x14ac:dyDescent="0.25">
      <c r="A369" s="6"/>
      <c r="B369" s="6"/>
    </row>
    <row r="370" spans="1:2" x14ac:dyDescent="0.25">
      <c r="A370" s="6"/>
      <c r="B370" s="6"/>
    </row>
    <row r="371" spans="1:2" x14ac:dyDescent="0.25">
      <c r="A371" s="6"/>
      <c r="B371" s="6"/>
    </row>
    <row r="372" spans="1:2" x14ac:dyDescent="0.25">
      <c r="A372" s="6"/>
      <c r="B372" s="6"/>
    </row>
    <row r="373" spans="1:2" x14ac:dyDescent="0.25">
      <c r="A373" s="6"/>
      <c r="B373" s="6"/>
    </row>
    <row r="374" spans="1:2" x14ac:dyDescent="0.25">
      <c r="A374" s="6"/>
      <c r="B374" s="6"/>
    </row>
    <row r="375" spans="1:2" x14ac:dyDescent="0.25">
      <c r="A375" s="6"/>
      <c r="B375" s="6"/>
    </row>
    <row r="376" spans="1:2" x14ac:dyDescent="0.25">
      <c r="A376" s="6"/>
      <c r="B376" s="6"/>
    </row>
    <row r="377" spans="1:2" x14ac:dyDescent="0.25">
      <c r="A377" s="6"/>
      <c r="B377" s="6"/>
    </row>
    <row r="378" spans="1:2" x14ac:dyDescent="0.25">
      <c r="A378" s="6"/>
      <c r="B378" s="6"/>
    </row>
    <row r="379" spans="1:2" x14ac:dyDescent="0.25">
      <c r="A379" s="6"/>
      <c r="B379" s="6"/>
    </row>
    <row r="380" spans="1:2" x14ac:dyDescent="0.25">
      <c r="A380" s="6"/>
      <c r="B380" s="6"/>
    </row>
    <row r="381" spans="1:2" x14ac:dyDescent="0.25">
      <c r="A381" s="6"/>
      <c r="B381" s="6"/>
    </row>
    <row r="382" spans="1:2" x14ac:dyDescent="0.25">
      <c r="A382" s="6"/>
      <c r="B382" s="6"/>
    </row>
    <row r="383" spans="1:2" x14ac:dyDescent="0.25">
      <c r="A383" s="6"/>
      <c r="B383" s="6"/>
    </row>
    <row r="384" spans="1:2" x14ac:dyDescent="0.25">
      <c r="A384" s="6"/>
      <c r="B384" s="6"/>
    </row>
    <row r="385" spans="1:2" x14ac:dyDescent="0.25">
      <c r="A385" s="6"/>
      <c r="B385" s="6"/>
    </row>
    <row r="386" spans="1:2" x14ac:dyDescent="0.25">
      <c r="A386" s="6"/>
      <c r="B386" s="6"/>
    </row>
    <row r="387" spans="1:2" x14ac:dyDescent="0.25">
      <c r="A387" s="6"/>
      <c r="B387" s="6"/>
    </row>
    <row r="388" spans="1:2" x14ac:dyDescent="0.25">
      <c r="A388" s="6"/>
      <c r="B388" s="6"/>
    </row>
    <row r="389" spans="1:2" x14ac:dyDescent="0.25">
      <c r="A389" s="6"/>
      <c r="B389" s="6"/>
    </row>
    <row r="390" spans="1:2" x14ac:dyDescent="0.25">
      <c r="A390" s="6"/>
      <c r="B390" s="6"/>
    </row>
    <row r="391" spans="1:2" x14ac:dyDescent="0.25">
      <c r="A391" s="6"/>
      <c r="B391" s="6"/>
    </row>
    <row r="392" spans="1:2" x14ac:dyDescent="0.25">
      <c r="A392" s="6"/>
      <c r="B392" s="6"/>
    </row>
    <row r="393" spans="1:2" x14ac:dyDescent="0.25">
      <c r="A393" s="6"/>
      <c r="B393" s="6"/>
    </row>
    <row r="394" spans="1:2" x14ac:dyDescent="0.25">
      <c r="A394" s="6"/>
      <c r="B394" s="6"/>
    </row>
    <row r="395" spans="1:2" x14ac:dyDescent="0.25">
      <c r="A395" s="6"/>
      <c r="B395" s="6"/>
    </row>
    <row r="396" spans="1:2" x14ac:dyDescent="0.25">
      <c r="A396" s="6"/>
      <c r="B396" s="6"/>
    </row>
    <row r="397" spans="1:2" x14ac:dyDescent="0.25">
      <c r="A397" s="6"/>
      <c r="B397" s="6"/>
    </row>
    <row r="398" spans="1:2" x14ac:dyDescent="0.25">
      <c r="A398" s="6"/>
      <c r="B398" s="6"/>
    </row>
    <row r="399" spans="1:2" x14ac:dyDescent="0.25">
      <c r="A399" s="6"/>
      <c r="B399" s="6"/>
    </row>
    <row r="400" spans="1:2" x14ac:dyDescent="0.25">
      <c r="A400" s="6"/>
      <c r="B400" s="6"/>
    </row>
    <row r="401" spans="1:2" x14ac:dyDescent="0.25">
      <c r="A401" s="6"/>
      <c r="B401" s="6"/>
    </row>
    <row r="402" spans="1:2" x14ac:dyDescent="0.25">
      <c r="A402" s="6"/>
      <c r="B402" s="6"/>
    </row>
    <row r="403" spans="1:2" x14ac:dyDescent="0.25">
      <c r="A403" s="6"/>
      <c r="B403" s="6"/>
    </row>
    <row r="404" spans="1:2" x14ac:dyDescent="0.25">
      <c r="A404" s="6"/>
      <c r="B404" s="6"/>
    </row>
    <row r="405" spans="1:2" x14ac:dyDescent="0.25">
      <c r="A405" s="6"/>
      <c r="B405" s="6"/>
    </row>
    <row r="406" spans="1:2" x14ac:dyDescent="0.25">
      <c r="A406" s="6"/>
      <c r="B406" s="6"/>
    </row>
    <row r="407" spans="1:2" x14ac:dyDescent="0.25">
      <c r="A407" s="6"/>
      <c r="B407" s="6"/>
    </row>
    <row r="408" spans="1:2" x14ac:dyDescent="0.25">
      <c r="A408" s="6"/>
      <c r="B408" s="6"/>
    </row>
    <row r="409" spans="1:2" x14ac:dyDescent="0.25">
      <c r="A409" s="6"/>
      <c r="B409" s="6"/>
    </row>
    <row r="410" spans="1:2" x14ac:dyDescent="0.25">
      <c r="A410" s="6"/>
      <c r="B410" s="6"/>
    </row>
    <row r="411" spans="1:2" x14ac:dyDescent="0.25">
      <c r="A411" s="6"/>
      <c r="B411" s="6"/>
    </row>
    <row r="412" spans="1:2" x14ac:dyDescent="0.25">
      <c r="A412" s="6"/>
      <c r="B412" s="6"/>
    </row>
    <row r="413" spans="1:2" x14ac:dyDescent="0.25">
      <c r="A413" s="6"/>
      <c r="B413" s="6"/>
    </row>
    <row r="414" spans="1:2" x14ac:dyDescent="0.25">
      <c r="A414" s="6"/>
      <c r="B414" s="6"/>
    </row>
    <row r="415" spans="1:2" x14ac:dyDescent="0.25">
      <c r="A415" s="6"/>
      <c r="B415" s="6"/>
    </row>
    <row r="416" spans="1:2" x14ac:dyDescent="0.25">
      <c r="A416" s="6"/>
      <c r="B416" s="6"/>
    </row>
    <row r="417" spans="1:2" x14ac:dyDescent="0.25">
      <c r="A417" s="6"/>
      <c r="B417" s="6"/>
    </row>
    <row r="418" spans="1:2" x14ac:dyDescent="0.25">
      <c r="A418" s="6"/>
      <c r="B418" s="6"/>
    </row>
    <row r="419" spans="1:2" x14ac:dyDescent="0.25">
      <c r="A419" s="6"/>
      <c r="B419" s="6"/>
    </row>
    <row r="420" spans="1:2" x14ac:dyDescent="0.25">
      <c r="A420" s="6"/>
      <c r="B420" s="6"/>
    </row>
    <row r="421" spans="1:2" x14ac:dyDescent="0.25">
      <c r="A421" s="6"/>
      <c r="B421" s="6"/>
    </row>
    <row r="422" spans="1:2" x14ac:dyDescent="0.25">
      <c r="A422" s="6"/>
      <c r="B422" s="6"/>
    </row>
    <row r="423" spans="1:2" x14ac:dyDescent="0.25">
      <c r="A423" s="6"/>
      <c r="B423" s="6"/>
    </row>
    <row r="424" spans="1:2" x14ac:dyDescent="0.25">
      <c r="A424" s="6"/>
      <c r="B424" s="6"/>
    </row>
    <row r="425" spans="1:2" x14ac:dyDescent="0.25">
      <c r="A425" s="6"/>
      <c r="B425" s="6"/>
    </row>
    <row r="426" spans="1:2" x14ac:dyDescent="0.25">
      <c r="A426" s="6"/>
      <c r="B426" s="6"/>
    </row>
    <row r="427" spans="1:2" x14ac:dyDescent="0.25">
      <c r="A427" s="6"/>
      <c r="B427" s="6"/>
    </row>
    <row r="428" spans="1:2" x14ac:dyDescent="0.25">
      <c r="A428" s="6"/>
      <c r="B428" s="6"/>
    </row>
    <row r="429" spans="1:2" x14ac:dyDescent="0.25">
      <c r="A429" s="6"/>
      <c r="B429" s="6"/>
    </row>
    <row r="430" spans="1:2" x14ac:dyDescent="0.25">
      <c r="A430" s="6"/>
      <c r="B430" s="6"/>
    </row>
    <row r="431" spans="1:2" x14ac:dyDescent="0.25">
      <c r="A431" s="6"/>
      <c r="B431" s="6"/>
    </row>
    <row r="432" spans="1:2" x14ac:dyDescent="0.25">
      <c r="A432" s="6"/>
      <c r="B432" s="6"/>
    </row>
    <row r="433" spans="1:2" x14ac:dyDescent="0.25">
      <c r="A433" s="6"/>
      <c r="B433" s="6"/>
    </row>
    <row r="434" spans="1:2" x14ac:dyDescent="0.25">
      <c r="A434" s="6"/>
      <c r="B434" s="6"/>
    </row>
    <row r="435" spans="1:2" x14ac:dyDescent="0.25">
      <c r="A435" s="6"/>
      <c r="B435" s="6"/>
    </row>
    <row r="436" spans="1:2" x14ac:dyDescent="0.25">
      <c r="A436" s="6"/>
      <c r="B436" s="6"/>
    </row>
    <row r="437" spans="1:2" x14ac:dyDescent="0.25">
      <c r="A437" s="6"/>
      <c r="B437" s="6"/>
    </row>
    <row r="438" spans="1:2" x14ac:dyDescent="0.25">
      <c r="A438" s="6"/>
      <c r="B438" s="6"/>
    </row>
    <row r="439" spans="1:2" x14ac:dyDescent="0.25">
      <c r="A439" s="6"/>
      <c r="B439" s="6"/>
    </row>
    <row r="440" spans="1:2" x14ac:dyDescent="0.25">
      <c r="A440" s="6"/>
      <c r="B440" s="6"/>
    </row>
    <row r="441" spans="1:2" x14ac:dyDescent="0.25">
      <c r="A441" s="6"/>
      <c r="B441" s="6"/>
    </row>
    <row r="442" spans="1:2" x14ac:dyDescent="0.25">
      <c r="A442" s="6"/>
      <c r="B442" s="6"/>
    </row>
    <row r="443" spans="1:2" x14ac:dyDescent="0.25">
      <c r="A443" s="6"/>
      <c r="B443" s="6"/>
    </row>
    <row r="444" spans="1:2" x14ac:dyDescent="0.25">
      <c r="A444" s="6"/>
      <c r="B444" s="6"/>
    </row>
    <row r="445" spans="1:2" x14ac:dyDescent="0.25">
      <c r="A445" s="6"/>
      <c r="B445" s="6"/>
    </row>
    <row r="446" spans="1:2" x14ac:dyDescent="0.25">
      <c r="A446" s="6"/>
      <c r="B446" s="6"/>
    </row>
    <row r="447" spans="1:2" x14ac:dyDescent="0.25">
      <c r="A447" s="6"/>
      <c r="B447" s="6"/>
    </row>
    <row r="448" spans="1:2" x14ac:dyDescent="0.25">
      <c r="A448" s="6"/>
      <c r="B448" s="6"/>
    </row>
    <row r="449" spans="1:2" x14ac:dyDescent="0.25">
      <c r="A449" s="6"/>
      <c r="B449" s="6"/>
    </row>
    <row r="450" spans="1:2" x14ac:dyDescent="0.25">
      <c r="A450" s="6"/>
      <c r="B450" s="6"/>
    </row>
    <row r="451" spans="1:2" x14ac:dyDescent="0.25">
      <c r="A451" s="6"/>
      <c r="B451" s="6"/>
    </row>
    <row r="452" spans="1:2" x14ac:dyDescent="0.25">
      <c r="A452" s="6"/>
      <c r="B452" s="6"/>
    </row>
    <row r="453" spans="1:2" x14ac:dyDescent="0.25">
      <c r="A453" s="6"/>
      <c r="B453" s="6"/>
    </row>
    <row r="454" spans="1:2" x14ac:dyDescent="0.25">
      <c r="A454" s="6"/>
      <c r="B454" s="6"/>
    </row>
    <row r="455" spans="1:2" x14ac:dyDescent="0.25">
      <c r="A455" s="6"/>
      <c r="B455" s="6"/>
    </row>
    <row r="456" spans="1:2" x14ac:dyDescent="0.25">
      <c r="A456" s="6"/>
      <c r="B456" s="6"/>
    </row>
    <row r="457" spans="1:2" x14ac:dyDescent="0.25">
      <c r="A457" s="6"/>
      <c r="B457" s="6"/>
    </row>
    <row r="458" spans="1:2" x14ac:dyDescent="0.25">
      <c r="A458" s="6"/>
      <c r="B458" s="6"/>
    </row>
    <row r="459" spans="1:2" x14ac:dyDescent="0.25">
      <c r="A459" s="6"/>
      <c r="B459" s="6"/>
    </row>
    <row r="460" spans="1:2" x14ac:dyDescent="0.25">
      <c r="A460" s="6"/>
      <c r="B460" s="6"/>
    </row>
    <row r="461" spans="1:2" x14ac:dyDescent="0.25">
      <c r="A461" s="6"/>
      <c r="B461" s="6"/>
    </row>
    <row r="462" spans="1:2" x14ac:dyDescent="0.25">
      <c r="A462" s="6"/>
      <c r="B462" s="6"/>
    </row>
    <row r="463" spans="1:2" x14ac:dyDescent="0.25">
      <c r="A463" s="6"/>
      <c r="B463" s="6"/>
    </row>
    <row r="464" spans="1:2" x14ac:dyDescent="0.25">
      <c r="A464" s="6"/>
      <c r="B464" s="6"/>
    </row>
    <row r="465" spans="1:2" x14ac:dyDescent="0.25">
      <c r="A465" s="6"/>
      <c r="B465" s="6"/>
    </row>
    <row r="466" spans="1:2" x14ac:dyDescent="0.25">
      <c r="A466" s="6"/>
      <c r="B466" s="6"/>
    </row>
    <row r="467" spans="1:2" x14ac:dyDescent="0.25">
      <c r="A467" s="6"/>
      <c r="B467" s="6"/>
    </row>
    <row r="468" spans="1:2" x14ac:dyDescent="0.25">
      <c r="A468" s="6"/>
      <c r="B468" s="6"/>
    </row>
    <row r="469" spans="1:2" x14ac:dyDescent="0.25">
      <c r="A469" s="6"/>
      <c r="B469" s="6"/>
    </row>
    <row r="470" spans="1:2" x14ac:dyDescent="0.25">
      <c r="A470" s="6"/>
      <c r="B470" s="6"/>
    </row>
    <row r="471" spans="1:2" x14ac:dyDescent="0.25">
      <c r="A471" s="6"/>
      <c r="B471" s="6"/>
    </row>
    <row r="472" spans="1:2" x14ac:dyDescent="0.25">
      <c r="A472" s="6"/>
      <c r="B472" s="6"/>
    </row>
    <row r="473" spans="1:2" x14ac:dyDescent="0.25">
      <c r="A473" s="6"/>
      <c r="B473" s="6"/>
    </row>
    <row r="474" spans="1:2" x14ac:dyDescent="0.25">
      <c r="A474" s="6"/>
      <c r="B474" s="6"/>
    </row>
    <row r="475" spans="1:2" x14ac:dyDescent="0.25">
      <c r="A475" s="6"/>
      <c r="B475" s="6"/>
    </row>
    <row r="476" spans="1:2" x14ac:dyDescent="0.25">
      <c r="A476" s="6"/>
      <c r="B476" s="6"/>
    </row>
    <row r="477" spans="1:2" x14ac:dyDescent="0.25">
      <c r="A477" s="6"/>
      <c r="B477" s="6"/>
    </row>
    <row r="478" spans="1:2" x14ac:dyDescent="0.25">
      <c r="A478" s="6"/>
      <c r="B478" s="6"/>
    </row>
    <row r="479" spans="1:2" x14ac:dyDescent="0.25">
      <c r="A479" s="6"/>
      <c r="B479" s="6"/>
    </row>
    <row r="480" spans="1:2" x14ac:dyDescent="0.25">
      <c r="A480" s="6"/>
      <c r="B480" s="6"/>
    </row>
    <row r="481" spans="1:2" x14ac:dyDescent="0.25">
      <c r="A481" s="6"/>
      <c r="B481" s="6"/>
    </row>
    <row r="482" spans="1:2" x14ac:dyDescent="0.25">
      <c r="A482" s="6"/>
      <c r="B482" s="6"/>
    </row>
    <row r="483" spans="1:2" x14ac:dyDescent="0.25">
      <c r="A483" s="6"/>
      <c r="B483" s="6"/>
    </row>
    <row r="484" spans="1:2" x14ac:dyDescent="0.25">
      <c r="A484" s="6"/>
      <c r="B484" s="6"/>
    </row>
    <row r="485" spans="1:2" x14ac:dyDescent="0.25">
      <c r="A485" s="6"/>
      <c r="B485" s="6"/>
    </row>
    <row r="486" spans="1:2" x14ac:dyDescent="0.25">
      <c r="A486" s="6"/>
      <c r="B486" s="6"/>
    </row>
    <row r="487" spans="1:2" x14ac:dyDescent="0.25">
      <c r="A487" s="6"/>
      <c r="B487" s="6"/>
    </row>
    <row r="488" spans="1:2" x14ac:dyDescent="0.25">
      <c r="A488" s="6"/>
      <c r="B488" s="6"/>
    </row>
    <row r="489" spans="1:2" x14ac:dyDescent="0.25">
      <c r="A489" s="6"/>
      <c r="B489" s="6"/>
    </row>
    <row r="490" spans="1:2" x14ac:dyDescent="0.25">
      <c r="A490" s="6"/>
      <c r="B490" s="6"/>
    </row>
    <row r="491" spans="1:2" x14ac:dyDescent="0.25">
      <c r="A491" s="6"/>
      <c r="B491" s="6"/>
    </row>
    <row r="492" spans="1:2" x14ac:dyDescent="0.25">
      <c r="A492" s="6"/>
      <c r="B492" s="6"/>
    </row>
    <row r="493" spans="1:2" x14ac:dyDescent="0.25">
      <c r="A493" s="6"/>
      <c r="B493" s="6"/>
    </row>
    <row r="494" spans="1:2" x14ac:dyDescent="0.25">
      <c r="A494" s="6"/>
      <c r="B494" s="6"/>
    </row>
    <row r="495" spans="1:2" x14ac:dyDescent="0.25">
      <c r="A495" s="6"/>
      <c r="B495" s="6"/>
    </row>
    <row r="496" spans="1:2" x14ac:dyDescent="0.25">
      <c r="A496" s="6"/>
      <c r="B496" s="6"/>
    </row>
    <row r="497" spans="1:2" x14ac:dyDescent="0.25">
      <c r="A497" s="6"/>
      <c r="B497" s="6"/>
    </row>
    <row r="498" spans="1:2" x14ac:dyDescent="0.25">
      <c r="A498" s="6"/>
      <c r="B498" s="6"/>
    </row>
    <row r="499" spans="1:2" x14ac:dyDescent="0.25">
      <c r="A499" s="6"/>
      <c r="B499" s="6"/>
    </row>
    <row r="500" spans="1:2" x14ac:dyDescent="0.25">
      <c r="A500" s="6"/>
      <c r="B500" s="6"/>
    </row>
    <row r="501" spans="1:2" x14ac:dyDescent="0.25">
      <c r="A501" s="6"/>
      <c r="B501" s="6"/>
    </row>
    <row r="502" spans="1:2" x14ac:dyDescent="0.25">
      <c r="A502" s="6"/>
      <c r="B502" s="6"/>
    </row>
    <row r="503" spans="1:2" x14ac:dyDescent="0.25">
      <c r="A503" s="6"/>
      <c r="B503" s="6"/>
    </row>
    <row r="504" spans="1:2" x14ac:dyDescent="0.25">
      <c r="A504" s="6"/>
      <c r="B504" s="6"/>
    </row>
    <row r="505" spans="1:2" x14ac:dyDescent="0.25">
      <c r="A505" s="6"/>
      <c r="B505" s="6"/>
    </row>
    <row r="506" spans="1:2" x14ac:dyDescent="0.25">
      <c r="A506" s="6"/>
      <c r="B506" s="6"/>
    </row>
    <row r="507" spans="1:2" x14ac:dyDescent="0.25">
      <c r="A507" s="6"/>
      <c r="B507" s="6"/>
    </row>
    <row r="508" spans="1:2" x14ac:dyDescent="0.25">
      <c r="A508" s="6"/>
      <c r="B508" s="6"/>
    </row>
    <row r="509" spans="1:2" x14ac:dyDescent="0.25">
      <c r="A509" s="6"/>
      <c r="B509" s="6"/>
    </row>
    <row r="510" spans="1:2" x14ac:dyDescent="0.25">
      <c r="A510" s="6"/>
      <c r="B510" s="6"/>
    </row>
    <row r="511" spans="1:2" x14ac:dyDescent="0.25">
      <c r="A511" s="6"/>
      <c r="B511" s="6"/>
    </row>
    <row r="512" spans="1:2" x14ac:dyDescent="0.25">
      <c r="A512" s="6"/>
      <c r="B512" s="6"/>
    </row>
    <row r="513" spans="1:2" x14ac:dyDescent="0.25">
      <c r="A513" s="6"/>
      <c r="B513" s="6"/>
    </row>
    <row r="514" spans="1:2" x14ac:dyDescent="0.25">
      <c r="A514" s="6"/>
      <c r="B514" s="6"/>
    </row>
    <row r="515" spans="1:2" x14ac:dyDescent="0.25">
      <c r="A515" s="6"/>
      <c r="B515" s="6"/>
    </row>
    <row r="516" spans="1:2" x14ac:dyDescent="0.25">
      <c r="A516" s="6"/>
      <c r="B516" s="6"/>
    </row>
    <row r="517" spans="1:2" x14ac:dyDescent="0.25">
      <c r="A517" s="6"/>
      <c r="B517" s="6"/>
    </row>
    <row r="518" spans="1:2" x14ac:dyDescent="0.25">
      <c r="A518" s="6"/>
      <c r="B518" s="6"/>
    </row>
    <row r="519" spans="1:2" x14ac:dyDescent="0.25">
      <c r="A519" s="6"/>
      <c r="B519" s="6"/>
    </row>
    <row r="520" spans="1:2" x14ac:dyDescent="0.25">
      <c r="A520" s="6"/>
      <c r="B520" s="6"/>
    </row>
    <row r="521" spans="1:2" x14ac:dyDescent="0.25">
      <c r="A521" s="6"/>
      <c r="B521" s="6"/>
    </row>
    <row r="522" spans="1:2" x14ac:dyDescent="0.25">
      <c r="A522" s="6"/>
      <c r="B522" s="6"/>
    </row>
    <row r="523" spans="1:2" x14ac:dyDescent="0.25">
      <c r="A523" s="6"/>
      <c r="B523" s="6"/>
    </row>
    <row r="524" spans="1:2" x14ac:dyDescent="0.25">
      <c r="A524" s="6"/>
      <c r="B524" s="6"/>
    </row>
    <row r="525" spans="1:2" x14ac:dyDescent="0.25">
      <c r="A525" s="6"/>
      <c r="B525" s="6"/>
    </row>
    <row r="526" spans="1:2" x14ac:dyDescent="0.25">
      <c r="A526" s="6"/>
      <c r="B526" s="6"/>
    </row>
    <row r="527" spans="1:2" x14ac:dyDescent="0.25">
      <c r="A527" s="6"/>
      <c r="B527" s="6"/>
    </row>
    <row r="528" spans="1:2" x14ac:dyDescent="0.25">
      <c r="A528" s="6"/>
      <c r="B528" s="6"/>
    </row>
    <row r="529" spans="1:2" x14ac:dyDescent="0.25">
      <c r="A529" s="6"/>
      <c r="B529" s="6"/>
    </row>
    <row r="530" spans="1:2" x14ac:dyDescent="0.25">
      <c r="A530" s="6"/>
      <c r="B530" s="6"/>
    </row>
    <row r="531" spans="1:2" x14ac:dyDescent="0.25">
      <c r="A531" s="6"/>
      <c r="B531" s="6"/>
    </row>
    <row r="532" spans="1:2" x14ac:dyDescent="0.25">
      <c r="A532" s="6"/>
      <c r="B532" s="6"/>
    </row>
    <row r="533" spans="1:2" x14ac:dyDescent="0.25">
      <c r="A533" s="6"/>
      <c r="B533" s="6"/>
    </row>
    <row r="534" spans="1:2" x14ac:dyDescent="0.25">
      <c r="A534" s="6"/>
      <c r="B534" s="6"/>
    </row>
    <row r="535" spans="1:2" x14ac:dyDescent="0.25">
      <c r="A535" s="6"/>
      <c r="B535" s="6"/>
    </row>
    <row r="536" spans="1:2" x14ac:dyDescent="0.25">
      <c r="A536" s="6"/>
      <c r="B536" s="6"/>
    </row>
    <row r="537" spans="1:2" x14ac:dyDescent="0.25">
      <c r="A537" s="6"/>
      <c r="B537" s="6"/>
    </row>
    <row r="538" spans="1:2" x14ac:dyDescent="0.25">
      <c r="A538" s="6"/>
      <c r="B538" s="6"/>
    </row>
    <row r="539" spans="1:2" x14ac:dyDescent="0.25">
      <c r="A539" s="6"/>
      <c r="B539" s="6"/>
    </row>
    <row r="540" spans="1:2" x14ac:dyDescent="0.25">
      <c r="A540" s="6"/>
      <c r="B540" s="6"/>
    </row>
    <row r="541" spans="1:2" x14ac:dyDescent="0.25">
      <c r="A541" s="6"/>
      <c r="B541" s="6"/>
    </row>
    <row r="542" spans="1:2" x14ac:dyDescent="0.25">
      <c r="A542" s="6"/>
      <c r="B542" s="6"/>
    </row>
    <row r="543" spans="1:2" x14ac:dyDescent="0.25">
      <c r="A543" s="6"/>
      <c r="B543" s="6"/>
    </row>
    <row r="544" spans="1:2" x14ac:dyDescent="0.25">
      <c r="A544" s="6"/>
      <c r="B544" s="6"/>
    </row>
    <row r="545" spans="1:2" x14ac:dyDescent="0.25">
      <c r="A545" s="6"/>
      <c r="B545" s="6"/>
    </row>
    <row r="546" spans="1:2" x14ac:dyDescent="0.25">
      <c r="A546" s="6"/>
      <c r="B546" s="6"/>
    </row>
    <row r="547" spans="1:2" x14ac:dyDescent="0.25">
      <c r="A547" s="6"/>
      <c r="B547" s="6"/>
    </row>
    <row r="548" spans="1:2" x14ac:dyDescent="0.25">
      <c r="A548" s="6"/>
      <c r="B548" s="6"/>
    </row>
    <row r="549" spans="1:2" x14ac:dyDescent="0.25">
      <c r="A549" s="6"/>
      <c r="B549" s="6"/>
    </row>
    <row r="550" spans="1:2" x14ac:dyDescent="0.25">
      <c r="A550" s="6"/>
      <c r="B550" s="6"/>
    </row>
    <row r="551" spans="1:2" x14ac:dyDescent="0.25">
      <c r="A551" s="6"/>
      <c r="B551" s="6"/>
    </row>
    <row r="552" spans="1:2" x14ac:dyDescent="0.25">
      <c r="A552" s="6"/>
      <c r="B552" s="6"/>
    </row>
    <row r="553" spans="1:2" x14ac:dyDescent="0.25">
      <c r="A553" s="6"/>
      <c r="B553" s="6"/>
    </row>
    <row r="554" spans="1:2" x14ac:dyDescent="0.25">
      <c r="A554" s="6"/>
      <c r="B554" s="6"/>
    </row>
    <row r="555" spans="1:2" x14ac:dyDescent="0.25">
      <c r="A555" s="6"/>
      <c r="B555" s="6"/>
    </row>
    <row r="556" spans="1:2" x14ac:dyDescent="0.25">
      <c r="A556" s="6"/>
      <c r="B556" s="6"/>
    </row>
    <row r="557" spans="1:2" x14ac:dyDescent="0.25">
      <c r="A557" s="6"/>
      <c r="B557" s="6"/>
    </row>
    <row r="558" spans="1:2" x14ac:dyDescent="0.25">
      <c r="A558" s="6"/>
      <c r="B558" s="6"/>
    </row>
    <row r="559" spans="1:2" x14ac:dyDescent="0.25">
      <c r="A559" s="6"/>
      <c r="B559" s="6"/>
    </row>
    <row r="560" spans="1:2" x14ac:dyDescent="0.25">
      <c r="A560" s="6"/>
      <c r="B560" s="6"/>
    </row>
    <row r="561" spans="1:2" x14ac:dyDescent="0.25">
      <c r="A561" s="6"/>
      <c r="B561" s="6"/>
    </row>
    <row r="562" spans="1:2" x14ac:dyDescent="0.25">
      <c r="A562" s="6"/>
      <c r="B562" s="6"/>
    </row>
    <row r="563" spans="1:2" x14ac:dyDescent="0.25">
      <c r="A563" s="6"/>
      <c r="B563" s="6"/>
    </row>
    <row r="564" spans="1:2" x14ac:dyDescent="0.25">
      <c r="A564" s="6"/>
      <c r="B564" s="6"/>
    </row>
    <row r="565" spans="1:2" x14ac:dyDescent="0.25">
      <c r="A565" s="6"/>
      <c r="B565" s="6"/>
    </row>
    <row r="566" spans="1:2" x14ac:dyDescent="0.25">
      <c r="A566" s="6"/>
      <c r="B566" s="6"/>
    </row>
    <row r="567" spans="1:2" x14ac:dyDescent="0.25">
      <c r="A567" s="6"/>
      <c r="B567" s="6"/>
    </row>
    <row r="568" spans="1:2" x14ac:dyDescent="0.25">
      <c r="A568" s="6"/>
      <c r="B568" s="6"/>
    </row>
    <row r="569" spans="1:2" x14ac:dyDescent="0.25">
      <c r="A569" s="6"/>
      <c r="B569" s="6"/>
    </row>
    <row r="570" spans="1:2" x14ac:dyDescent="0.25">
      <c r="A570" s="6"/>
      <c r="B570" s="6"/>
    </row>
    <row r="571" spans="1:2" x14ac:dyDescent="0.25">
      <c r="A571" s="6"/>
      <c r="B571" s="6"/>
    </row>
    <row r="572" spans="1:2" x14ac:dyDescent="0.25">
      <c r="A572" s="6"/>
      <c r="B572" s="6"/>
    </row>
    <row r="573" spans="1:2" x14ac:dyDescent="0.25">
      <c r="A573" s="6"/>
      <c r="B573" s="6"/>
    </row>
    <row r="574" spans="1:2" x14ac:dyDescent="0.25">
      <c r="A574" s="6"/>
      <c r="B574" s="6"/>
    </row>
    <row r="575" spans="1:2" x14ac:dyDescent="0.25">
      <c r="A575" s="6"/>
      <c r="B575" s="6"/>
    </row>
    <row r="576" spans="1:2" x14ac:dyDescent="0.25">
      <c r="A576" s="6"/>
      <c r="B576" s="6"/>
    </row>
    <row r="577" spans="1:2" x14ac:dyDescent="0.25">
      <c r="A577" s="6"/>
      <c r="B577" s="6"/>
    </row>
    <row r="578" spans="1:2" x14ac:dyDescent="0.25">
      <c r="A578" s="6"/>
      <c r="B578" s="6"/>
    </row>
    <row r="579" spans="1:2" x14ac:dyDescent="0.25">
      <c r="A579" s="6"/>
      <c r="B579" s="6"/>
    </row>
    <row r="580" spans="1:2" x14ac:dyDescent="0.25">
      <c r="A580" s="6"/>
      <c r="B580" s="6"/>
    </row>
    <row r="581" spans="1:2" x14ac:dyDescent="0.25">
      <c r="A581" s="6"/>
      <c r="B581" s="6"/>
    </row>
    <row r="582" spans="1:2" x14ac:dyDescent="0.25">
      <c r="A582" s="6"/>
      <c r="B582" s="6"/>
    </row>
    <row r="583" spans="1:2" x14ac:dyDescent="0.25">
      <c r="A583" s="6"/>
      <c r="B583" s="6"/>
    </row>
    <row r="584" spans="1:2" x14ac:dyDescent="0.25">
      <c r="A584" s="6"/>
      <c r="B584" s="6"/>
    </row>
    <row r="585" spans="1:2" x14ac:dyDescent="0.25">
      <c r="A585" s="6"/>
      <c r="B585" s="6"/>
    </row>
    <row r="586" spans="1:2" x14ac:dyDescent="0.25">
      <c r="A586" s="6"/>
      <c r="B586" s="6"/>
    </row>
    <row r="587" spans="1:2" x14ac:dyDescent="0.25">
      <c r="A587" s="6"/>
      <c r="B587" s="6"/>
    </row>
    <row r="588" spans="1:2" x14ac:dyDescent="0.25">
      <c r="A588" s="6"/>
      <c r="B588" s="6"/>
    </row>
    <row r="589" spans="1:2" x14ac:dyDescent="0.25">
      <c r="A589" s="6"/>
      <c r="B589" s="6"/>
    </row>
    <row r="590" spans="1:2" x14ac:dyDescent="0.25">
      <c r="A590" s="6"/>
      <c r="B590" s="6"/>
    </row>
    <row r="591" spans="1:2" x14ac:dyDescent="0.25">
      <c r="A591" s="6"/>
      <c r="B591" s="6"/>
    </row>
    <row r="592" spans="1:2" x14ac:dyDescent="0.25">
      <c r="A592" s="6"/>
      <c r="B592" s="6"/>
    </row>
    <row r="593" spans="1:2" x14ac:dyDescent="0.25">
      <c r="A593" s="6"/>
      <c r="B593" s="6"/>
    </row>
    <row r="594" spans="1:2" x14ac:dyDescent="0.25">
      <c r="A594" s="6"/>
      <c r="B594" s="6"/>
    </row>
    <row r="595" spans="1:2" x14ac:dyDescent="0.25">
      <c r="A595" s="6"/>
      <c r="B595" s="6"/>
    </row>
    <row r="596" spans="1:2" x14ac:dyDescent="0.25">
      <c r="A596" s="6"/>
      <c r="B596" s="6"/>
    </row>
    <row r="597" spans="1:2" x14ac:dyDescent="0.25">
      <c r="A597" s="6"/>
      <c r="B597" s="6"/>
    </row>
    <row r="598" spans="1:2" x14ac:dyDescent="0.25">
      <c r="A598" s="6"/>
      <c r="B598" s="6"/>
    </row>
    <row r="599" spans="1:2" x14ac:dyDescent="0.25">
      <c r="A599" s="6"/>
      <c r="B599" s="6"/>
    </row>
    <row r="600" spans="1:2" x14ac:dyDescent="0.25">
      <c r="A600" s="6"/>
      <c r="B600" s="6"/>
    </row>
    <row r="601" spans="1:2" x14ac:dyDescent="0.25">
      <c r="A601" s="6"/>
      <c r="B601" s="6"/>
    </row>
    <row r="602" spans="1:2" x14ac:dyDescent="0.25">
      <c r="A602" s="6"/>
      <c r="B602" s="6"/>
    </row>
    <row r="603" spans="1:2" x14ac:dyDescent="0.25">
      <c r="A603" s="6"/>
      <c r="B603" s="6"/>
    </row>
    <row r="604" spans="1:2" x14ac:dyDescent="0.25">
      <c r="A604" s="6"/>
      <c r="B604" s="6"/>
    </row>
    <row r="605" spans="1:2" x14ac:dyDescent="0.25">
      <c r="A605" s="6"/>
      <c r="B605" s="6"/>
    </row>
    <row r="606" spans="1:2" x14ac:dyDescent="0.25">
      <c r="A606" s="6"/>
      <c r="B606" s="6"/>
    </row>
    <row r="607" spans="1:2" x14ac:dyDescent="0.25">
      <c r="A607" s="6"/>
      <c r="B607" s="6"/>
    </row>
    <row r="608" spans="1:2" x14ac:dyDescent="0.25">
      <c r="A608" s="6"/>
      <c r="B608" s="6"/>
    </row>
    <row r="609" spans="1:2" x14ac:dyDescent="0.25">
      <c r="A609" s="6"/>
      <c r="B609" s="6"/>
    </row>
    <row r="610" spans="1:2" x14ac:dyDescent="0.25">
      <c r="A610" s="6"/>
      <c r="B610" s="6"/>
    </row>
    <row r="611" spans="1:2" x14ac:dyDescent="0.25">
      <c r="A611" s="6"/>
      <c r="B611" s="6"/>
    </row>
    <row r="612" spans="1:2" x14ac:dyDescent="0.25">
      <c r="A612" s="6"/>
      <c r="B612" s="6"/>
    </row>
    <row r="613" spans="1:2" x14ac:dyDescent="0.25">
      <c r="A613" s="6"/>
      <c r="B613" s="6"/>
    </row>
    <row r="614" spans="1:2" x14ac:dyDescent="0.25">
      <c r="A614" s="6"/>
      <c r="B614" s="6"/>
    </row>
    <row r="615" spans="1:2" x14ac:dyDescent="0.25">
      <c r="A615" s="6"/>
      <c r="B615" s="6"/>
    </row>
    <row r="616" spans="1:2" x14ac:dyDescent="0.25">
      <c r="A616" s="6"/>
      <c r="B616" s="6"/>
    </row>
    <row r="617" spans="1:2" x14ac:dyDescent="0.25">
      <c r="A617" s="6"/>
      <c r="B617" s="6"/>
    </row>
    <row r="618" spans="1:2" x14ac:dyDescent="0.25">
      <c r="A618" s="6"/>
      <c r="B618" s="6"/>
    </row>
    <row r="619" spans="1:2" x14ac:dyDescent="0.25">
      <c r="A619" s="6"/>
      <c r="B619" s="6"/>
    </row>
    <row r="620" spans="1:2" x14ac:dyDescent="0.25">
      <c r="A620" s="6"/>
      <c r="B620" s="6"/>
    </row>
    <row r="621" spans="1:2" x14ac:dyDescent="0.25">
      <c r="A621" s="6"/>
      <c r="B621" s="6"/>
    </row>
    <row r="622" spans="1:2" x14ac:dyDescent="0.25">
      <c r="A622" s="6"/>
      <c r="B622" s="6"/>
    </row>
    <row r="623" spans="1:2" x14ac:dyDescent="0.25">
      <c r="A623" s="6"/>
      <c r="B623" s="6"/>
    </row>
    <row r="624" spans="1:2" x14ac:dyDescent="0.25">
      <c r="A624" s="6"/>
      <c r="B624" s="6"/>
    </row>
    <row r="625" spans="1:2" x14ac:dyDescent="0.25">
      <c r="A625" s="6"/>
      <c r="B625" s="6"/>
    </row>
    <row r="626" spans="1:2" x14ac:dyDescent="0.25">
      <c r="A626" s="6"/>
      <c r="B626" s="6"/>
    </row>
    <row r="627" spans="1:2" x14ac:dyDescent="0.25">
      <c r="A627" s="6"/>
      <c r="B627" s="6"/>
    </row>
    <row r="628" spans="1:2" x14ac:dyDescent="0.25">
      <c r="A628" s="6"/>
      <c r="B628" s="6"/>
    </row>
    <row r="629" spans="1:2" x14ac:dyDescent="0.25">
      <c r="A629" s="6"/>
      <c r="B629" s="6"/>
    </row>
    <row r="630" spans="1:2" x14ac:dyDescent="0.25">
      <c r="A630" s="6"/>
      <c r="B630" s="6"/>
    </row>
    <row r="631" spans="1:2" x14ac:dyDescent="0.25">
      <c r="A631" s="6"/>
      <c r="B631" s="6"/>
    </row>
    <row r="632" spans="1:2" x14ac:dyDescent="0.25">
      <c r="A632" s="6"/>
      <c r="B632" s="6"/>
    </row>
    <row r="633" spans="1:2" x14ac:dyDescent="0.25">
      <c r="A633" s="6"/>
      <c r="B633" s="6"/>
    </row>
    <row r="634" spans="1:2" x14ac:dyDescent="0.25">
      <c r="A634" s="6"/>
      <c r="B634" s="6"/>
    </row>
    <row r="635" spans="1:2" x14ac:dyDescent="0.25">
      <c r="A635" s="6"/>
      <c r="B635" s="6"/>
    </row>
    <row r="636" spans="1:2" x14ac:dyDescent="0.25">
      <c r="A636" s="6"/>
      <c r="B636" s="6"/>
    </row>
    <row r="637" spans="1:2" x14ac:dyDescent="0.25">
      <c r="A637" s="6"/>
      <c r="B637" s="6"/>
    </row>
    <row r="638" spans="1:2" x14ac:dyDescent="0.25">
      <c r="A638" s="6"/>
      <c r="B638" s="6"/>
    </row>
    <row r="639" spans="1:2" x14ac:dyDescent="0.25">
      <c r="A639" s="6"/>
      <c r="B639" s="6"/>
    </row>
    <row r="640" spans="1:2" x14ac:dyDescent="0.25">
      <c r="A640" s="6"/>
      <c r="B640" s="6"/>
    </row>
    <row r="641" spans="1:2" x14ac:dyDescent="0.25">
      <c r="A641" s="6"/>
      <c r="B641" s="6"/>
    </row>
    <row r="642" spans="1:2" x14ac:dyDescent="0.25">
      <c r="A642" s="6"/>
      <c r="B642" s="6"/>
    </row>
    <row r="643" spans="1:2" x14ac:dyDescent="0.25">
      <c r="A643" s="6"/>
      <c r="B643" s="6"/>
    </row>
    <row r="644" spans="1:2" x14ac:dyDescent="0.25">
      <c r="A644" s="6"/>
      <c r="B644" s="6"/>
    </row>
    <row r="645" spans="1:2" x14ac:dyDescent="0.25">
      <c r="A645" s="6"/>
      <c r="B645" s="6"/>
    </row>
    <row r="646" spans="1:2" x14ac:dyDescent="0.25">
      <c r="A646" s="6"/>
      <c r="B646" s="6"/>
    </row>
    <row r="647" spans="1:2" x14ac:dyDescent="0.25">
      <c r="A647" s="6"/>
      <c r="B647" s="6"/>
    </row>
    <row r="648" spans="1:2" x14ac:dyDescent="0.25">
      <c r="A648" s="6"/>
      <c r="B648" s="6"/>
    </row>
    <row r="649" spans="1:2" x14ac:dyDescent="0.25">
      <c r="A649" s="6"/>
      <c r="B649" s="6"/>
    </row>
    <row r="650" spans="1:2" x14ac:dyDescent="0.25">
      <c r="A650" s="6"/>
      <c r="B650" s="6"/>
    </row>
    <row r="651" spans="1:2" x14ac:dyDescent="0.25">
      <c r="A651" s="6"/>
      <c r="B651" s="6"/>
    </row>
    <row r="652" spans="1:2" x14ac:dyDescent="0.25">
      <c r="A652" s="6"/>
      <c r="B652" s="6"/>
    </row>
    <row r="653" spans="1:2" x14ac:dyDescent="0.25">
      <c r="A653" s="6"/>
      <c r="B653" s="6"/>
    </row>
    <row r="654" spans="1:2" x14ac:dyDescent="0.25">
      <c r="A654" s="6"/>
      <c r="B654" s="6"/>
    </row>
    <row r="655" spans="1:2" x14ac:dyDescent="0.25">
      <c r="A655" s="6"/>
      <c r="B655" s="6"/>
    </row>
    <row r="656" spans="1:2" x14ac:dyDescent="0.25">
      <c r="A656" s="6"/>
      <c r="B656" s="6"/>
    </row>
    <row r="657" spans="1:2" x14ac:dyDescent="0.25">
      <c r="A657" s="6"/>
      <c r="B657" s="6"/>
    </row>
    <row r="658" spans="1:2" x14ac:dyDescent="0.25">
      <c r="A658" s="6"/>
      <c r="B658" s="6"/>
    </row>
    <row r="659" spans="1:2" x14ac:dyDescent="0.25">
      <c r="A659" s="6"/>
      <c r="B659" s="6"/>
    </row>
    <row r="660" spans="1:2" x14ac:dyDescent="0.25">
      <c r="A660" s="6"/>
      <c r="B660" s="6"/>
    </row>
    <row r="661" spans="1:2" x14ac:dyDescent="0.25">
      <c r="A661" s="6"/>
      <c r="B661" s="6"/>
    </row>
    <row r="662" spans="1:2" x14ac:dyDescent="0.25">
      <c r="A662" s="6"/>
      <c r="B662" s="6"/>
    </row>
    <row r="663" spans="1:2" x14ac:dyDescent="0.25">
      <c r="A663" s="6"/>
      <c r="B663" s="6"/>
    </row>
    <row r="664" spans="1:2" x14ac:dyDescent="0.25">
      <c r="A664" s="6"/>
      <c r="B664" s="6"/>
    </row>
    <row r="665" spans="1:2" x14ac:dyDescent="0.25">
      <c r="A665" s="6"/>
      <c r="B665" s="6"/>
    </row>
    <row r="666" spans="1:2" x14ac:dyDescent="0.25">
      <c r="A666" s="6"/>
      <c r="B666" s="6"/>
    </row>
    <row r="667" spans="1:2" x14ac:dyDescent="0.25">
      <c r="A667" s="6"/>
      <c r="B667" s="6"/>
    </row>
    <row r="668" spans="1:2" x14ac:dyDescent="0.25">
      <c r="A668" s="6"/>
      <c r="B668" s="6"/>
    </row>
    <row r="669" spans="1:2" x14ac:dyDescent="0.25">
      <c r="A669" s="6"/>
      <c r="B669" s="6"/>
    </row>
    <row r="670" spans="1:2" x14ac:dyDescent="0.25">
      <c r="A670" s="6"/>
      <c r="B670" s="6"/>
    </row>
    <row r="671" spans="1:2" x14ac:dyDescent="0.25">
      <c r="A671" s="6"/>
      <c r="B671" s="6"/>
    </row>
    <row r="672" spans="1:2" x14ac:dyDescent="0.25">
      <c r="A672" s="6"/>
      <c r="B672" s="6"/>
    </row>
    <row r="673" spans="1:2" x14ac:dyDescent="0.25">
      <c r="A673" s="6"/>
      <c r="B673" s="6"/>
    </row>
    <row r="674" spans="1:2" x14ac:dyDescent="0.25">
      <c r="A674" s="6"/>
      <c r="B674" s="6"/>
    </row>
    <row r="675" spans="1:2" x14ac:dyDescent="0.25">
      <c r="A675" s="6"/>
      <c r="B675" s="6"/>
    </row>
    <row r="676" spans="1:2" x14ac:dyDescent="0.25">
      <c r="A676" s="6"/>
      <c r="B676" s="6"/>
    </row>
    <row r="677" spans="1:2" x14ac:dyDescent="0.25">
      <c r="A677" s="6"/>
      <c r="B677" s="6"/>
    </row>
    <row r="678" spans="1:2" x14ac:dyDescent="0.25">
      <c r="A678" s="6"/>
      <c r="B678" s="6"/>
    </row>
    <row r="679" spans="1:2" x14ac:dyDescent="0.25">
      <c r="A679" s="6"/>
      <c r="B679" s="6"/>
    </row>
    <row r="680" spans="1:2" x14ac:dyDescent="0.25">
      <c r="A680" s="6"/>
      <c r="B680" s="6"/>
    </row>
    <row r="681" spans="1:2" x14ac:dyDescent="0.25">
      <c r="A681" s="6"/>
      <c r="B681" s="6"/>
    </row>
    <row r="682" spans="1:2" x14ac:dyDescent="0.25">
      <c r="A682" s="6"/>
      <c r="B682" s="6"/>
    </row>
    <row r="683" spans="1:2" x14ac:dyDescent="0.25">
      <c r="A683" s="6"/>
      <c r="B683" s="6"/>
    </row>
    <row r="684" spans="1:2" x14ac:dyDescent="0.25">
      <c r="A684" s="6"/>
      <c r="B684" s="6"/>
    </row>
    <row r="685" spans="1:2" x14ac:dyDescent="0.25">
      <c r="A685" s="6"/>
      <c r="B685" s="6"/>
    </row>
    <row r="686" spans="1:2" x14ac:dyDescent="0.25">
      <c r="A686" s="6"/>
      <c r="B686" s="6"/>
    </row>
    <row r="687" spans="1:2" x14ac:dyDescent="0.25">
      <c r="A687" s="6"/>
      <c r="B687" s="6"/>
    </row>
    <row r="688" spans="1:2" x14ac:dyDescent="0.25">
      <c r="A688" s="6"/>
      <c r="B688" s="6"/>
    </row>
    <row r="689" spans="1:2" x14ac:dyDescent="0.25">
      <c r="A689" s="6"/>
      <c r="B689" s="6"/>
    </row>
    <row r="690" spans="1:2" x14ac:dyDescent="0.25">
      <c r="A690" s="6"/>
      <c r="B690" s="6"/>
    </row>
    <row r="691" spans="1:2" x14ac:dyDescent="0.25">
      <c r="A691" s="6"/>
      <c r="B691" s="6"/>
    </row>
    <row r="692" spans="1:2" x14ac:dyDescent="0.25">
      <c r="A692" s="6"/>
      <c r="B692" s="6"/>
    </row>
    <row r="693" spans="1:2" x14ac:dyDescent="0.25">
      <c r="A693" s="6"/>
      <c r="B693" s="6"/>
    </row>
    <row r="694" spans="1:2" x14ac:dyDescent="0.25">
      <c r="A694" s="6"/>
      <c r="B694" s="6"/>
    </row>
    <row r="695" spans="1:2" x14ac:dyDescent="0.25">
      <c r="A695" s="6"/>
      <c r="B695" s="6"/>
    </row>
    <row r="696" spans="1:2" x14ac:dyDescent="0.25">
      <c r="A696" s="6"/>
      <c r="B696" s="6"/>
    </row>
    <row r="697" spans="1:2" x14ac:dyDescent="0.25">
      <c r="A697" s="6"/>
      <c r="B697" s="6"/>
    </row>
    <row r="698" spans="1:2" x14ac:dyDescent="0.25">
      <c r="A698" s="6"/>
      <c r="B698" s="6"/>
    </row>
    <row r="699" spans="1:2" x14ac:dyDescent="0.25">
      <c r="A699" s="6"/>
      <c r="B699" s="6"/>
    </row>
    <row r="700" spans="1:2" x14ac:dyDescent="0.25">
      <c r="A700" s="6"/>
      <c r="B700" s="6"/>
    </row>
    <row r="701" spans="1:2" x14ac:dyDescent="0.25">
      <c r="A701" s="6"/>
      <c r="B701" s="6"/>
    </row>
    <row r="702" spans="1:2" x14ac:dyDescent="0.25">
      <c r="A702" s="6"/>
      <c r="B702" s="6"/>
    </row>
    <row r="703" spans="1:2" x14ac:dyDescent="0.25">
      <c r="A703" s="6"/>
      <c r="B703" s="6"/>
    </row>
    <row r="704" spans="1:2" x14ac:dyDescent="0.25">
      <c r="A704" s="6"/>
      <c r="B704" s="6"/>
    </row>
    <row r="705" spans="1:2" x14ac:dyDescent="0.25">
      <c r="A705" s="6"/>
      <c r="B705" s="6"/>
    </row>
    <row r="706" spans="1:2" x14ac:dyDescent="0.25">
      <c r="A706" s="6"/>
      <c r="B706" s="6"/>
    </row>
    <row r="707" spans="1:2" x14ac:dyDescent="0.25">
      <c r="A707" s="6"/>
      <c r="B707" s="6"/>
    </row>
    <row r="708" spans="1:2" x14ac:dyDescent="0.25">
      <c r="A708" s="6"/>
      <c r="B708" s="6"/>
    </row>
    <row r="709" spans="1:2" x14ac:dyDescent="0.25">
      <c r="A709" s="6"/>
      <c r="B709" s="6"/>
    </row>
    <row r="710" spans="1:2" x14ac:dyDescent="0.25">
      <c r="A710" s="6"/>
      <c r="B710" s="6"/>
    </row>
    <row r="711" spans="1:2" x14ac:dyDescent="0.25">
      <c r="A711" s="6"/>
      <c r="B711" s="6"/>
    </row>
    <row r="712" spans="1:2" x14ac:dyDescent="0.25">
      <c r="A712" s="6"/>
      <c r="B712" s="6"/>
    </row>
    <row r="713" spans="1:2" x14ac:dyDescent="0.25">
      <c r="A713" s="6"/>
      <c r="B713" s="6"/>
    </row>
    <row r="714" spans="1:2" x14ac:dyDescent="0.25">
      <c r="A714" s="6"/>
      <c r="B714" s="6"/>
    </row>
    <row r="715" spans="1:2" x14ac:dyDescent="0.25">
      <c r="A715" s="6"/>
      <c r="B715" s="6"/>
    </row>
    <row r="716" spans="1:2" x14ac:dyDescent="0.25">
      <c r="A716" s="6"/>
      <c r="B716" s="6"/>
    </row>
    <row r="717" spans="1:2" x14ac:dyDescent="0.25">
      <c r="A717" s="6"/>
      <c r="B717" s="6"/>
    </row>
    <row r="718" spans="1:2" x14ac:dyDescent="0.25">
      <c r="A718" s="6"/>
      <c r="B718" s="6"/>
    </row>
    <row r="719" spans="1:2" x14ac:dyDescent="0.25">
      <c r="A719" s="6"/>
      <c r="B719" s="6"/>
    </row>
    <row r="720" spans="1:2" x14ac:dyDescent="0.25">
      <c r="A720" s="6"/>
      <c r="B720" s="6"/>
    </row>
    <row r="721" spans="1:2" x14ac:dyDescent="0.25">
      <c r="A721" s="6"/>
      <c r="B721" s="6"/>
    </row>
    <row r="722" spans="1:2" x14ac:dyDescent="0.25">
      <c r="A722" s="6"/>
      <c r="B722" s="6"/>
    </row>
    <row r="723" spans="1:2" x14ac:dyDescent="0.25">
      <c r="A723" s="6"/>
      <c r="B723" s="6"/>
    </row>
    <row r="724" spans="1:2" x14ac:dyDescent="0.25">
      <c r="A724" s="6"/>
      <c r="B724" s="6"/>
    </row>
    <row r="725" spans="1:2" x14ac:dyDescent="0.25">
      <c r="A725" s="6"/>
      <c r="B725" s="6"/>
    </row>
    <row r="726" spans="1:2" x14ac:dyDescent="0.25">
      <c r="A726" s="6"/>
      <c r="B726" s="6"/>
    </row>
    <row r="727" spans="1:2" x14ac:dyDescent="0.25">
      <c r="A727" s="6"/>
      <c r="B727" s="6"/>
    </row>
    <row r="728" spans="1:2" x14ac:dyDescent="0.25">
      <c r="A728" s="6"/>
      <c r="B728" s="6"/>
    </row>
    <row r="729" spans="1:2" x14ac:dyDescent="0.25">
      <c r="A729" s="6"/>
      <c r="B729" s="6"/>
    </row>
    <row r="730" spans="1:2" x14ac:dyDescent="0.25">
      <c r="A730" s="6"/>
      <c r="B730" s="6"/>
    </row>
    <row r="731" spans="1:2" x14ac:dyDescent="0.25">
      <c r="A731" s="6"/>
      <c r="B731" s="6"/>
    </row>
    <row r="732" spans="1:2" x14ac:dyDescent="0.25">
      <c r="A732" s="6"/>
      <c r="B732" s="6"/>
    </row>
    <row r="733" spans="1:2" x14ac:dyDescent="0.25">
      <c r="A733" s="6"/>
      <c r="B733" s="6"/>
    </row>
    <row r="734" spans="1:2" x14ac:dyDescent="0.25">
      <c r="A734" s="6"/>
      <c r="B734" s="6"/>
    </row>
    <row r="735" spans="1:2" x14ac:dyDescent="0.25">
      <c r="A735" s="6"/>
      <c r="B735" s="6"/>
    </row>
    <row r="736" spans="1:2" x14ac:dyDescent="0.25">
      <c r="A736" s="6"/>
      <c r="B736" s="6"/>
    </row>
    <row r="737" spans="1:2" x14ac:dyDescent="0.25">
      <c r="A737" s="6"/>
      <c r="B737" s="6"/>
    </row>
    <row r="738" spans="1:2" x14ac:dyDescent="0.25">
      <c r="A738" s="6"/>
      <c r="B738" s="6"/>
    </row>
    <row r="739" spans="1:2" x14ac:dyDescent="0.25">
      <c r="A739" s="6"/>
      <c r="B739" s="6"/>
    </row>
    <row r="740" spans="1:2" x14ac:dyDescent="0.25">
      <c r="A740" s="6"/>
      <c r="B740" s="6"/>
    </row>
    <row r="741" spans="1:2" x14ac:dyDescent="0.25">
      <c r="A741" s="6"/>
      <c r="B741" s="6"/>
    </row>
    <row r="742" spans="1:2" x14ac:dyDescent="0.25">
      <c r="A742" s="6"/>
      <c r="B742" s="6"/>
    </row>
    <row r="743" spans="1:2" x14ac:dyDescent="0.25">
      <c r="A743" s="6"/>
      <c r="B743" s="6"/>
    </row>
    <row r="744" spans="1:2" x14ac:dyDescent="0.25">
      <c r="A744" s="6"/>
      <c r="B744" s="6"/>
    </row>
    <row r="745" spans="1:2" x14ac:dyDescent="0.25">
      <c r="A745" s="6"/>
      <c r="B745" s="6"/>
    </row>
    <row r="746" spans="1:2" x14ac:dyDescent="0.25">
      <c r="A746" s="6"/>
      <c r="B746" s="6"/>
    </row>
    <row r="747" spans="1:2" x14ac:dyDescent="0.25">
      <c r="A747" s="6"/>
      <c r="B747" s="6"/>
    </row>
    <row r="748" spans="1:2" x14ac:dyDescent="0.25">
      <c r="A748" s="6"/>
      <c r="B748" s="6"/>
    </row>
    <row r="749" spans="1:2" x14ac:dyDescent="0.25">
      <c r="A749" s="6"/>
      <c r="B749" s="6"/>
    </row>
    <row r="750" spans="1:2" x14ac:dyDescent="0.25">
      <c r="A750" s="6"/>
      <c r="B750" s="6"/>
    </row>
    <row r="751" spans="1:2" x14ac:dyDescent="0.25">
      <c r="A751" s="6"/>
      <c r="B751" s="6"/>
    </row>
    <row r="752" spans="1:2" x14ac:dyDescent="0.25">
      <c r="A752" s="6"/>
      <c r="B752" s="6"/>
    </row>
    <row r="753" spans="1:2" x14ac:dyDescent="0.25">
      <c r="A753" s="6"/>
      <c r="B753" s="6"/>
    </row>
    <row r="754" spans="1:2" x14ac:dyDescent="0.25">
      <c r="A754" s="6"/>
      <c r="B754" s="6"/>
    </row>
    <row r="755" spans="1:2" x14ac:dyDescent="0.25">
      <c r="A755" s="6"/>
      <c r="B755" s="6"/>
    </row>
    <row r="756" spans="1:2" x14ac:dyDescent="0.25">
      <c r="A756" s="6"/>
      <c r="B756" s="6"/>
    </row>
    <row r="757" spans="1:2" x14ac:dyDescent="0.25">
      <c r="A757" s="6"/>
      <c r="B757" s="6"/>
    </row>
    <row r="758" spans="1:2" x14ac:dyDescent="0.25">
      <c r="A758" s="6"/>
      <c r="B758" s="6"/>
    </row>
    <row r="759" spans="1:2" x14ac:dyDescent="0.25">
      <c r="A759" s="6"/>
      <c r="B759" s="6"/>
    </row>
    <row r="760" spans="1:2" x14ac:dyDescent="0.25">
      <c r="A760" s="6"/>
      <c r="B760" s="6"/>
    </row>
    <row r="761" spans="1:2" x14ac:dyDescent="0.25">
      <c r="A761" s="6"/>
      <c r="B761" s="6"/>
    </row>
    <row r="762" spans="1:2" x14ac:dyDescent="0.25">
      <c r="A762" s="6"/>
      <c r="B762" s="6"/>
    </row>
    <row r="763" spans="1:2" x14ac:dyDescent="0.25">
      <c r="A763" s="6"/>
      <c r="B763" s="6"/>
    </row>
    <row r="764" spans="1:2" x14ac:dyDescent="0.25">
      <c r="A764" s="6"/>
      <c r="B764" s="6"/>
    </row>
    <row r="765" spans="1:2" x14ac:dyDescent="0.25">
      <c r="A765" s="6"/>
      <c r="B765" s="6"/>
    </row>
    <row r="766" spans="1:2" x14ac:dyDescent="0.25">
      <c r="A766" s="6"/>
      <c r="B766" s="6"/>
    </row>
    <row r="767" spans="1:2" x14ac:dyDescent="0.25">
      <c r="A767" s="6"/>
      <c r="B767" s="6"/>
    </row>
    <row r="768" spans="1:2" x14ac:dyDescent="0.25">
      <c r="A768" s="6"/>
      <c r="B768" s="6"/>
    </row>
    <row r="769" spans="1:2" x14ac:dyDescent="0.25">
      <c r="A769" s="6"/>
      <c r="B769" s="6"/>
    </row>
    <row r="770" spans="1:2" x14ac:dyDescent="0.25">
      <c r="A770" s="6"/>
      <c r="B770" s="6"/>
    </row>
    <row r="771" spans="1:2" x14ac:dyDescent="0.25">
      <c r="A771" s="6"/>
      <c r="B771" s="6"/>
    </row>
    <row r="772" spans="1:2" x14ac:dyDescent="0.25">
      <c r="A772" s="6"/>
      <c r="B772" s="6"/>
    </row>
    <row r="773" spans="1:2" x14ac:dyDescent="0.25">
      <c r="A773" s="6"/>
      <c r="B773" s="6"/>
    </row>
    <row r="774" spans="1:2" x14ac:dyDescent="0.25">
      <c r="A774" s="6"/>
      <c r="B774" s="6"/>
    </row>
    <row r="775" spans="1:2" x14ac:dyDescent="0.25">
      <c r="A775" s="6"/>
      <c r="B775" s="6"/>
    </row>
    <row r="776" spans="1:2" x14ac:dyDescent="0.25">
      <c r="A776" s="6"/>
      <c r="B776" s="6"/>
    </row>
    <row r="777" spans="1:2" x14ac:dyDescent="0.25">
      <c r="A777" s="6"/>
      <c r="B777" s="6"/>
    </row>
    <row r="778" spans="1:2" x14ac:dyDescent="0.25">
      <c r="A778" s="6"/>
      <c r="B778" s="6"/>
    </row>
    <row r="779" spans="1:2" x14ac:dyDescent="0.25">
      <c r="A779" s="6"/>
      <c r="B779" s="6"/>
    </row>
    <row r="780" spans="1:2" x14ac:dyDescent="0.25">
      <c r="A780" s="6"/>
      <c r="B780" s="6"/>
    </row>
    <row r="781" spans="1:2" x14ac:dyDescent="0.25">
      <c r="A781" s="6"/>
      <c r="B781" s="6"/>
    </row>
    <row r="782" spans="1:2" x14ac:dyDescent="0.25">
      <c r="A782" s="6"/>
      <c r="B782" s="6"/>
    </row>
    <row r="783" spans="1:2" x14ac:dyDescent="0.25">
      <c r="A783" s="6"/>
      <c r="B783" s="6"/>
    </row>
    <row r="784" spans="1:2" x14ac:dyDescent="0.25">
      <c r="A784" s="6"/>
      <c r="B784" s="6"/>
    </row>
    <row r="785" spans="1:2" x14ac:dyDescent="0.25">
      <c r="A785" s="6"/>
      <c r="B785" s="6"/>
    </row>
    <row r="786" spans="1:2" x14ac:dyDescent="0.25">
      <c r="A786" s="6"/>
      <c r="B786" s="6"/>
    </row>
    <row r="787" spans="1:2" x14ac:dyDescent="0.25">
      <c r="A787" s="6"/>
      <c r="B787" s="6"/>
    </row>
    <row r="788" spans="1:2" x14ac:dyDescent="0.25">
      <c r="A788" s="6"/>
      <c r="B788" s="6"/>
    </row>
    <row r="789" spans="1:2" x14ac:dyDescent="0.25">
      <c r="A789" s="6"/>
      <c r="B789" s="6"/>
    </row>
    <row r="790" spans="1:2" x14ac:dyDescent="0.25">
      <c r="A790" s="6"/>
      <c r="B790" s="6"/>
    </row>
    <row r="791" spans="1:2" x14ac:dyDescent="0.25">
      <c r="A791" s="6"/>
      <c r="B791" s="6"/>
    </row>
    <row r="792" spans="1:2" x14ac:dyDescent="0.25">
      <c r="A792" s="6"/>
      <c r="B792" s="6"/>
    </row>
    <row r="793" spans="1:2" x14ac:dyDescent="0.25">
      <c r="A793" s="6"/>
      <c r="B793" s="6"/>
    </row>
    <row r="794" spans="1:2" x14ac:dyDescent="0.25">
      <c r="A794" s="6"/>
      <c r="B794" s="6"/>
    </row>
    <row r="795" spans="1:2" x14ac:dyDescent="0.25">
      <c r="A795" s="6"/>
      <c r="B795" s="6"/>
    </row>
    <row r="796" spans="1:2" x14ac:dyDescent="0.25">
      <c r="A796" s="6"/>
      <c r="B796" s="6"/>
    </row>
    <row r="797" spans="1:2" x14ac:dyDescent="0.25">
      <c r="A797" s="6"/>
      <c r="B797" s="6"/>
    </row>
    <row r="798" spans="1:2" x14ac:dyDescent="0.25">
      <c r="A798" s="6"/>
      <c r="B798" s="6"/>
    </row>
    <row r="799" spans="1:2" x14ac:dyDescent="0.25">
      <c r="A799" s="6"/>
      <c r="B799" s="6"/>
    </row>
    <row r="800" spans="1:2" x14ac:dyDescent="0.25">
      <c r="A800" s="6"/>
      <c r="B800" s="6"/>
    </row>
    <row r="801" spans="1:2" x14ac:dyDescent="0.25">
      <c r="A801" s="6"/>
      <c r="B801" s="6"/>
    </row>
    <row r="802" spans="1:2" x14ac:dyDescent="0.25">
      <c r="A802" s="6"/>
      <c r="B802" s="6"/>
    </row>
    <row r="803" spans="1:2" x14ac:dyDescent="0.25">
      <c r="A803" s="6"/>
      <c r="B803" s="6"/>
    </row>
    <row r="804" spans="1:2" x14ac:dyDescent="0.25">
      <c r="A804" s="6"/>
      <c r="B804" s="6"/>
    </row>
    <row r="805" spans="1:2" x14ac:dyDescent="0.25">
      <c r="A805" s="6"/>
      <c r="B805" s="6"/>
    </row>
    <row r="806" spans="1:2" x14ac:dyDescent="0.25">
      <c r="A806" s="6"/>
      <c r="B806" s="6"/>
    </row>
    <row r="807" spans="1:2" x14ac:dyDescent="0.25">
      <c r="A807" s="6"/>
      <c r="B807" s="6"/>
    </row>
    <row r="808" spans="1:2" x14ac:dyDescent="0.25">
      <c r="A808" s="6"/>
      <c r="B808" s="6"/>
    </row>
    <row r="809" spans="1:2" x14ac:dyDescent="0.25">
      <c r="A809" s="6"/>
      <c r="B809" s="6"/>
    </row>
    <row r="810" spans="1:2" x14ac:dyDescent="0.25">
      <c r="A810" s="6"/>
      <c r="B810" s="6"/>
    </row>
    <row r="811" spans="1:2" x14ac:dyDescent="0.25">
      <c r="A811" s="6"/>
      <c r="B811" s="6"/>
    </row>
    <row r="812" spans="1:2" x14ac:dyDescent="0.25">
      <c r="A812" s="6"/>
      <c r="B812" s="6"/>
    </row>
    <row r="813" spans="1:2" x14ac:dyDescent="0.25">
      <c r="A813" s="6"/>
      <c r="B813" s="6"/>
    </row>
    <row r="814" spans="1:2" x14ac:dyDescent="0.25">
      <c r="A814" s="6"/>
      <c r="B814" s="6"/>
    </row>
    <row r="815" spans="1:2" x14ac:dyDescent="0.25">
      <c r="A815" s="6"/>
      <c r="B815" s="6"/>
    </row>
    <row r="816" spans="1:2" x14ac:dyDescent="0.25">
      <c r="A816" s="6"/>
      <c r="B816" s="6"/>
    </row>
    <row r="817" spans="1:2" x14ac:dyDescent="0.25">
      <c r="A817" s="6"/>
      <c r="B817" s="6"/>
    </row>
    <row r="818" spans="1:2" x14ac:dyDescent="0.25">
      <c r="A818" s="6"/>
      <c r="B818" s="6"/>
    </row>
    <row r="819" spans="1:2" x14ac:dyDescent="0.25">
      <c r="A819" s="6"/>
      <c r="B819" s="6"/>
    </row>
    <row r="820" spans="1:2" x14ac:dyDescent="0.25">
      <c r="A820" s="6"/>
      <c r="B820" s="6"/>
    </row>
    <row r="821" spans="1:2" x14ac:dyDescent="0.25">
      <c r="A821" s="6"/>
      <c r="B821" s="6"/>
    </row>
    <row r="822" spans="1:2" x14ac:dyDescent="0.25">
      <c r="A822" s="6"/>
      <c r="B822" s="6"/>
    </row>
    <row r="823" spans="1:2" x14ac:dyDescent="0.25">
      <c r="A823" s="6"/>
      <c r="B823" s="6"/>
    </row>
    <row r="824" spans="1:2" x14ac:dyDescent="0.25">
      <c r="A824" s="6"/>
      <c r="B824" s="6"/>
    </row>
    <row r="825" spans="1:2" x14ac:dyDescent="0.25">
      <c r="A825" s="6"/>
      <c r="B825" s="6"/>
    </row>
    <row r="826" spans="1:2" x14ac:dyDescent="0.25">
      <c r="A826" s="6"/>
      <c r="B826" s="6"/>
    </row>
    <row r="827" spans="1:2" x14ac:dyDescent="0.25">
      <c r="A827" s="6"/>
      <c r="B827" s="6"/>
    </row>
    <row r="828" spans="1:2" x14ac:dyDescent="0.25">
      <c r="A828" s="6"/>
      <c r="B828" s="6"/>
    </row>
    <row r="829" spans="1:2" x14ac:dyDescent="0.25">
      <c r="A829" s="6"/>
      <c r="B829" s="6"/>
    </row>
    <row r="830" spans="1:2" x14ac:dyDescent="0.25">
      <c r="A830" s="6"/>
      <c r="B830" s="6"/>
    </row>
    <row r="831" spans="1:2" x14ac:dyDescent="0.25">
      <c r="A831" s="6"/>
      <c r="B831" s="6"/>
    </row>
    <row r="832" spans="1:2" x14ac:dyDescent="0.25">
      <c r="A832" s="6"/>
      <c r="B832" s="6"/>
    </row>
    <row r="833" spans="1:2" x14ac:dyDescent="0.25">
      <c r="A833" s="6"/>
      <c r="B833" s="6"/>
    </row>
    <row r="834" spans="1:2" x14ac:dyDescent="0.25">
      <c r="A834" s="6"/>
      <c r="B834" s="6"/>
    </row>
    <row r="835" spans="1:2" x14ac:dyDescent="0.25">
      <c r="A835" s="6"/>
      <c r="B835" s="6"/>
    </row>
    <row r="836" spans="1:2" x14ac:dyDescent="0.25">
      <c r="A836" s="6"/>
      <c r="B836" s="6"/>
    </row>
    <row r="837" spans="1:2" x14ac:dyDescent="0.25">
      <c r="A837" s="6"/>
      <c r="B837" s="6"/>
    </row>
    <row r="838" spans="1:2" x14ac:dyDescent="0.25">
      <c r="A838" s="6"/>
      <c r="B838" s="6"/>
    </row>
    <row r="839" spans="1:2" x14ac:dyDescent="0.25">
      <c r="A839" s="6"/>
      <c r="B839" s="6"/>
    </row>
    <row r="840" spans="1:2" x14ac:dyDescent="0.25">
      <c r="A840" s="6"/>
      <c r="B840" s="6"/>
    </row>
    <row r="841" spans="1:2" x14ac:dyDescent="0.25">
      <c r="A841" s="6"/>
      <c r="B841" s="6"/>
    </row>
    <row r="842" spans="1:2" x14ac:dyDescent="0.25">
      <c r="A842" s="6"/>
      <c r="B842" s="6"/>
    </row>
    <row r="843" spans="1:2" x14ac:dyDescent="0.25">
      <c r="A843" s="6"/>
      <c r="B843" s="6"/>
    </row>
    <row r="844" spans="1:2" x14ac:dyDescent="0.25">
      <c r="A844" s="6"/>
      <c r="B844" s="6"/>
    </row>
    <row r="845" spans="1:2" x14ac:dyDescent="0.25">
      <c r="A845" s="6"/>
      <c r="B845" s="6"/>
    </row>
    <row r="846" spans="1:2" x14ac:dyDescent="0.25">
      <c r="A846" s="6"/>
      <c r="B846" s="6"/>
    </row>
    <row r="847" spans="1:2" x14ac:dyDescent="0.25">
      <c r="A847" s="6"/>
      <c r="B847" s="6"/>
    </row>
    <row r="848" spans="1:2" x14ac:dyDescent="0.25">
      <c r="A848" s="6"/>
      <c r="B848" s="6"/>
    </row>
    <row r="849" spans="1:2" x14ac:dyDescent="0.25">
      <c r="A849" s="6"/>
      <c r="B849" s="6"/>
    </row>
    <row r="850" spans="1:2" x14ac:dyDescent="0.25">
      <c r="A850" s="6"/>
      <c r="B850" s="6"/>
    </row>
    <row r="851" spans="1:2" x14ac:dyDescent="0.25">
      <c r="A851" s="6"/>
      <c r="B851" s="6"/>
    </row>
    <row r="852" spans="1:2" x14ac:dyDescent="0.25">
      <c r="A852" s="6"/>
      <c r="B852" s="6"/>
    </row>
    <row r="853" spans="1:2" x14ac:dyDescent="0.25">
      <c r="A853" s="6"/>
      <c r="B853" s="6"/>
    </row>
    <row r="854" spans="1:2" x14ac:dyDescent="0.25">
      <c r="A854" s="6"/>
      <c r="B854" s="6"/>
    </row>
    <row r="855" spans="1:2" x14ac:dyDescent="0.25">
      <c r="A855" s="6"/>
      <c r="B855" s="6"/>
    </row>
    <row r="856" spans="1:2" x14ac:dyDescent="0.25">
      <c r="A856" s="6"/>
      <c r="B856" s="6"/>
    </row>
    <row r="857" spans="1:2" x14ac:dyDescent="0.25">
      <c r="A857" s="6"/>
      <c r="B857" s="6"/>
    </row>
    <row r="858" spans="1:2" x14ac:dyDescent="0.25">
      <c r="A858" s="6"/>
      <c r="B858" s="6"/>
    </row>
    <row r="859" spans="1:2" x14ac:dyDescent="0.25">
      <c r="A859" s="6"/>
      <c r="B859" s="6"/>
    </row>
    <row r="860" spans="1:2" x14ac:dyDescent="0.25">
      <c r="A860" s="6"/>
      <c r="B860" s="6"/>
    </row>
    <row r="861" spans="1:2" x14ac:dyDescent="0.25">
      <c r="A861" s="6"/>
      <c r="B861" s="6"/>
    </row>
    <row r="862" spans="1:2" x14ac:dyDescent="0.25">
      <c r="A862" s="6"/>
      <c r="B862" s="6"/>
    </row>
    <row r="863" spans="1:2" x14ac:dyDescent="0.25">
      <c r="A863" s="6"/>
      <c r="B863" s="6"/>
    </row>
    <row r="864" spans="1:2" x14ac:dyDescent="0.25">
      <c r="A864" s="6"/>
      <c r="B864" s="6"/>
    </row>
    <row r="865" spans="1:2" x14ac:dyDescent="0.25">
      <c r="A865" s="6"/>
      <c r="B865" s="6"/>
    </row>
    <row r="866" spans="1:2" x14ac:dyDescent="0.25">
      <c r="A866" s="6"/>
      <c r="B866" s="6"/>
    </row>
    <row r="867" spans="1:2" x14ac:dyDescent="0.25">
      <c r="A867" s="6"/>
      <c r="B867" s="6"/>
    </row>
    <row r="868" spans="1:2" x14ac:dyDescent="0.25">
      <c r="A868" s="6"/>
      <c r="B868" s="6"/>
    </row>
    <row r="869" spans="1:2" x14ac:dyDescent="0.25">
      <c r="A869" s="6"/>
      <c r="B869" s="6"/>
    </row>
    <row r="870" spans="1:2" x14ac:dyDescent="0.25">
      <c r="A870" s="6"/>
      <c r="B870" s="6"/>
    </row>
    <row r="871" spans="1:2" x14ac:dyDescent="0.25">
      <c r="A871" s="6"/>
      <c r="B871" s="6"/>
    </row>
    <row r="872" spans="1:2" x14ac:dyDescent="0.25">
      <c r="A872" s="6"/>
      <c r="B872" s="6"/>
    </row>
    <row r="873" spans="1:2" x14ac:dyDescent="0.25">
      <c r="A873" s="6"/>
      <c r="B873" s="6"/>
    </row>
    <row r="874" spans="1:2" x14ac:dyDescent="0.25">
      <c r="A874" s="6"/>
      <c r="B874" s="6"/>
    </row>
    <row r="875" spans="1:2" x14ac:dyDescent="0.25">
      <c r="A875" s="6"/>
      <c r="B875" s="6"/>
    </row>
    <row r="876" spans="1:2" x14ac:dyDescent="0.25">
      <c r="A876" s="6"/>
      <c r="B876" s="6"/>
    </row>
    <row r="877" spans="1:2" x14ac:dyDescent="0.25">
      <c r="A877" s="6"/>
      <c r="B877" s="6"/>
    </row>
    <row r="878" spans="1:2" x14ac:dyDescent="0.25">
      <c r="A878" s="6"/>
      <c r="B878" s="6"/>
    </row>
    <row r="879" spans="1:2" x14ac:dyDescent="0.25">
      <c r="A879" s="6"/>
      <c r="B879" s="6"/>
    </row>
    <row r="880" spans="1:2" x14ac:dyDescent="0.25">
      <c r="A880" s="6"/>
      <c r="B880" s="6"/>
    </row>
    <row r="881" spans="1:2" x14ac:dyDescent="0.25">
      <c r="A881" s="6"/>
      <c r="B881" s="6"/>
    </row>
    <row r="882" spans="1:2" x14ac:dyDescent="0.25">
      <c r="A882" s="6"/>
      <c r="B882" s="6"/>
    </row>
    <row r="883" spans="1:2" x14ac:dyDescent="0.25">
      <c r="A883" s="6"/>
      <c r="B883" s="6"/>
    </row>
    <row r="884" spans="1:2" x14ac:dyDescent="0.25">
      <c r="A884" s="6"/>
      <c r="B884" s="6"/>
    </row>
    <row r="885" spans="1:2" x14ac:dyDescent="0.25">
      <c r="A885" s="6"/>
      <c r="B885" s="6"/>
    </row>
    <row r="886" spans="1:2" x14ac:dyDescent="0.25">
      <c r="A886" s="6"/>
      <c r="B886" s="6"/>
    </row>
    <row r="887" spans="1:2" x14ac:dyDescent="0.25">
      <c r="A887" s="6"/>
      <c r="B887" s="6"/>
    </row>
    <row r="888" spans="1:2" x14ac:dyDescent="0.25">
      <c r="A888" s="6"/>
      <c r="B888" s="6"/>
    </row>
    <row r="889" spans="1:2" x14ac:dyDescent="0.25">
      <c r="A889" s="6"/>
      <c r="B889" s="6"/>
    </row>
    <row r="890" spans="1:2" x14ac:dyDescent="0.25">
      <c r="A890" s="6"/>
      <c r="B890" s="6"/>
    </row>
    <row r="891" spans="1:2" x14ac:dyDescent="0.25">
      <c r="A891" s="6"/>
      <c r="B891" s="6"/>
    </row>
    <row r="892" spans="1:2" x14ac:dyDescent="0.25">
      <c r="A892" s="6"/>
      <c r="B892" s="6"/>
    </row>
    <row r="893" spans="1:2" x14ac:dyDescent="0.25">
      <c r="A893" s="6"/>
      <c r="B893" s="6"/>
    </row>
    <row r="894" spans="1:2" x14ac:dyDescent="0.25">
      <c r="A894" s="6"/>
      <c r="B894" s="6"/>
    </row>
    <row r="895" spans="1:2" x14ac:dyDescent="0.25">
      <c r="A895" s="6"/>
      <c r="B895" s="6"/>
    </row>
    <row r="896" spans="1:2" x14ac:dyDescent="0.25">
      <c r="A896" s="6"/>
      <c r="B896" s="6"/>
    </row>
    <row r="897" spans="1:2" x14ac:dyDescent="0.25">
      <c r="A897" s="6"/>
      <c r="B897" s="6"/>
    </row>
    <row r="898" spans="1:2" x14ac:dyDescent="0.25">
      <c r="A898" s="6"/>
      <c r="B898" s="6"/>
    </row>
    <row r="899" spans="1:2" x14ac:dyDescent="0.25">
      <c r="A899" s="6"/>
      <c r="B899" s="6"/>
    </row>
    <row r="900" spans="1:2" x14ac:dyDescent="0.25">
      <c r="A900" s="6"/>
      <c r="B900" s="6"/>
    </row>
    <row r="901" spans="1:2" x14ac:dyDescent="0.25">
      <c r="A901" s="6"/>
      <c r="B901" s="6"/>
    </row>
    <row r="902" spans="1:2" x14ac:dyDescent="0.25">
      <c r="A902" s="6"/>
      <c r="B902" s="6"/>
    </row>
    <row r="903" spans="1:2" x14ac:dyDescent="0.25">
      <c r="A903" s="6"/>
      <c r="B903" s="6"/>
    </row>
    <row r="904" spans="1:2" x14ac:dyDescent="0.25">
      <c r="A904" s="6"/>
      <c r="B904" s="6"/>
    </row>
    <row r="905" spans="1:2" x14ac:dyDescent="0.25">
      <c r="A905" s="6"/>
      <c r="B905" s="6"/>
    </row>
    <row r="906" spans="1:2" x14ac:dyDescent="0.25">
      <c r="A906" s="6"/>
      <c r="B906" s="6"/>
    </row>
    <row r="907" spans="1:2" x14ac:dyDescent="0.25">
      <c r="A907" s="6"/>
      <c r="B907" s="6"/>
    </row>
    <row r="908" spans="1:2" x14ac:dyDescent="0.25">
      <c r="A908" s="6"/>
      <c r="B908" s="6"/>
    </row>
    <row r="909" spans="1:2" x14ac:dyDescent="0.25">
      <c r="A909" s="6"/>
      <c r="B909" s="6"/>
    </row>
    <row r="910" spans="1:2" x14ac:dyDescent="0.25">
      <c r="A910" s="6"/>
      <c r="B910" s="6"/>
    </row>
    <row r="911" spans="1:2" x14ac:dyDescent="0.25">
      <c r="A911" s="6"/>
      <c r="B911" s="6"/>
    </row>
    <row r="912" spans="1:2" x14ac:dyDescent="0.25">
      <c r="A912" s="6"/>
      <c r="B912" s="6"/>
    </row>
    <row r="913" spans="1:2" x14ac:dyDescent="0.25">
      <c r="A913" s="6"/>
      <c r="B913" s="6"/>
    </row>
    <row r="914" spans="1:2" x14ac:dyDescent="0.25">
      <c r="A914" s="6"/>
      <c r="B914" s="6"/>
    </row>
    <row r="915" spans="1:2" x14ac:dyDescent="0.25">
      <c r="A915" s="6"/>
      <c r="B915" s="6"/>
    </row>
    <row r="916" spans="1:2" x14ac:dyDescent="0.25">
      <c r="A916" s="6"/>
      <c r="B916" s="6"/>
    </row>
    <row r="917" spans="1:2" x14ac:dyDescent="0.25">
      <c r="A917" s="6"/>
      <c r="B917" s="6"/>
    </row>
    <row r="918" spans="1:2" x14ac:dyDescent="0.25">
      <c r="A918" s="6"/>
      <c r="B918" s="6"/>
    </row>
    <row r="919" spans="1:2" x14ac:dyDescent="0.25">
      <c r="A919" s="6"/>
      <c r="B919" s="6"/>
    </row>
    <row r="920" spans="1:2" x14ac:dyDescent="0.25">
      <c r="A920" s="6"/>
      <c r="B920" s="6"/>
    </row>
    <row r="921" spans="1:2" x14ac:dyDescent="0.25">
      <c r="A921" s="6"/>
      <c r="B921" s="6"/>
    </row>
    <row r="922" spans="1:2" x14ac:dyDescent="0.25">
      <c r="A922" s="6"/>
      <c r="B922" s="6"/>
    </row>
    <row r="923" spans="1:2" x14ac:dyDescent="0.25">
      <c r="A923" s="6"/>
      <c r="B923" s="6"/>
    </row>
    <row r="924" spans="1:2" x14ac:dyDescent="0.25">
      <c r="A924" s="6"/>
      <c r="B924" s="6"/>
    </row>
    <row r="925" spans="1:2" x14ac:dyDescent="0.25">
      <c r="A925" s="6"/>
      <c r="B925" s="6"/>
    </row>
    <row r="926" spans="1:2" x14ac:dyDescent="0.25">
      <c r="A926" s="6"/>
      <c r="B926" s="6"/>
    </row>
    <row r="927" spans="1:2" x14ac:dyDescent="0.25">
      <c r="A927" s="6"/>
      <c r="B927" s="6"/>
    </row>
    <row r="928" spans="1:2" x14ac:dyDescent="0.25">
      <c r="A928" s="6"/>
      <c r="B928" s="6"/>
    </row>
    <row r="929" spans="1:2" x14ac:dyDescent="0.25">
      <c r="A929" s="6"/>
      <c r="B929" s="6"/>
    </row>
    <row r="930" spans="1:2" x14ac:dyDescent="0.25">
      <c r="A930" s="6"/>
      <c r="B930" s="6"/>
    </row>
    <row r="931" spans="1:2" x14ac:dyDescent="0.25">
      <c r="A931" s="6"/>
      <c r="B931" s="6"/>
    </row>
    <row r="932" spans="1:2" x14ac:dyDescent="0.25">
      <c r="A932" s="6"/>
      <c r="B932" s="6"/>
    </row>
    <row r="933" spans="1:2" x14ac:dyDescent="0.25">
      <c r="A933" s="6"/>
      <c r="B933" s="6"/>
    </row>
    <row r="934" spans="1:2" x14ac:dyDescent="0.25">
      <c r="A934" s="6"/>
      <c r="B934" s="6"/>
    </row>
    <row r="935" spans="1:2" x14ac:dyDescent="0.25">
      <c r="A935" s="6"/>
      <c r="B935" s="6"/>
    </row>
    <row r="936" spans="1:2" x14ac:dyDescent="0.25">
      <c r="A936" s="6"/>
      <c r="B936" s="6"/>
    </row>
    <row r="937" spans="1:2" x14ac:dyDescent="0.25">
      <c r="A937" s="6"/>
      <c r="B937" s="6"/>
    </row>
    <row r="938" spans="1:2" x14ac:dyDescent="0.25">
      <c r="A938" s="6"/>
      <c r="B938" s="6"/>
    </row>
    <row r="939" spans="1:2" x14ac:dyDescent="0.25">
      <c r="A939" s="6"/>
      <c r="B939" s="6"/>
    </row>
    <row r="940" spans="1:2" x14ac:dyDescent="0.25">
      <c r="A940" s="6"/>
      <c r="B940" s="6"/>
    </row>
    <row r="941" spans="1:2" x14ac:dyDescent="0.25">
      <c r="A941" s="6"/>
      <c r="B941" s="6"/>
    </row>
    <row r="942" spans="1:2" x14ac:dyDescent="0.25">
      <c r="A942" s="6"/>
      <c r="B942" s="6"/>
    </row>
    <row r="943" spans="1:2" x14ac:dyDescent="0.25">
      <c r="A943" s="6"/>
      <c r="B943" s="6"/>
    </row>
    <row r="944" spans="1:2" x14ac:dyDescent="0.25">
      <c r="A944" s="6"/>
      <c r="B944" s="6"/>
    </row>
    <row r="945" spans="1:2" x14ac:dyDescent="0.25">
      <c r="A945" s="6"/>
      <c r="B945" s="6"/>
    </row>
    <row r="946" spans="1:2" x14ac:dyDescent="0.25">
      <c r="A946" s="6"/>
      <c r="B946" s="6"/>
    </row>
    <row r="947" spans="1:2" x14ac:dyDescent="0.25">
      <c r="A947" s="6"/>
      <c r="B947" s="6"/>
    </row>
    <row r="948" spans="1:2" x14ac:dyDescent="0.25">
      <c r="A948" s="6"/>
      <c r="B948" s="6"/>
    </row>
    <row r="949" spans="1:2" x14ac:dyDescent="0.25">
      <c r="A949" s="6"/>
      <c r="B949" s="6"/>
    </row>
    <row r="950" spans="1:2" x14ac:dyDescent="0.25">
      <c r="A950" s="6"/>
      <c r="B950" s="6"/>
    </row>
    <row r="951" spans="1:2" x14ac:dyDescent="0.25">
      <c r="A951" s="6"/>
      <c r="B951" s="6"/>
    </row>
    <row r="952" spans="1:2" x14ac:dyDescent="0.25">
      <c r="A952" s="6"/>
      <c r="B952" s="6"/>
    </row>
    <row r="953" spans="1:2" x14ac:dyDescent="0.25">
      <c r="A953" s="6"/>
      <c r="B953" s="6"/>
    </row>
    <row r="954" spans="1:2" x14ac:dyDescent="0.25">
      <c r="A954" s="6"/>
      <c r="B954" s="6"/>
    </row>
    <row r="955" spans="1:2" x14ac:dyDescent="0.25">
      <c r="A955" s="6"/>
      <c r="B955" s="6"/>
    </row>
    <row r="956" spans="1:2" x14ac:dyDescent="0.25">
      <c r="A956" s="6"/>
      <c r="B956" s="6"/>
    </row>
    <row r="957" spans="1:2" x14ac:dyDescent="0.25">
      <c r="A957" s="6"/>
      <c r="B957" s="6"/>
    </row>
    <row r="958" spans="1:2" x14ac:dyDescent="0.25">
      <c r="A958" s="6"/>
      <c r="B958" s="6"/>
    </row>
    <row r="959" spans="1:2" x14ac:dyDescent="0.25">
      <c r="A959" s="6"/>
      <c r="B959" s="6"/>
    </row>
    <row r="960" spans="1:2" x14ac:dyDescent="0.25">
      <c r="A960" s="6"/>
      <c r="B960" s="6"/>
    </row>
    <row r="961" spans="1:2" x14ac:dyDescent="0.25">
      <c r="A961" s="6"/>
      <c r="B961" s="6"/>
    </row>
    <row r="962" spans="1:2" x14ac:dyDescent="0.25">
      <c r="A962" s="6"/>
      <c r="B962" s="6"/>
    </row>
    <row r="963" spans="1:2" x14ac:dyDescent="0.25">
      <c r="A963" s="6"/>
      <c r="B963" s="6"/>
    </row>
    <row r="964" spans="1:2" x14ac:dyDescent="0.25">
      <c r="A964" s="6"/>
      <c r="B964" s="6"/>
    </row>
    <row r="965" spans="1:2" x14ac:dyDescent="0.25">
      <c r="A965" s="6"/>
      <c r="B965" s="6"/>
    </row>
    <row r="966" spans="1:2" x14ac:dyDescent="0.25">
      <c r="A966" s="6"/>
      <c r="B966" s="6"/>
    </row>
    <row r="967" spans="1:2" x14ac:dyDescent="0.25">
      <c r="A967" s="6"/>
      <c r="B967" s="6"/>
    </row>
    <row r="968" spans="1:2" x14ac:dyDescent="0.25">
      <c r="A968" s="6"/>
      <c r="B968" s="6"/>
    </row>
    <row r="969" spans="1:2" x14ac:dyDescent="0.25">
      <c r="A969" s="6"/>
      <c r="B969" s="6"/>
    </row>
    <row r="970" spans="1:2" x14ac:dyDescent="0.25">
      <c r="A970" s="6"/>
      <c r="B970" s="6"/>
    </row>
    <row r="971" spans="1:2" x14ac:dyDescent="0.25">
      <c r="A971" s="6"/>
      <c r="B971" s="6"/>
    </row>
    <row r="972" spans="1:2" x14ac:dyDescent="0.25">
      <c r="A972" s="6"/>
      <c r="B972" s="6"/>
    </row>
    <row r="973" spans="1:2" x14ac:dyDescent="0.25">
      <c r="A973" s="6"/>
      <c r="B973" s="6"/>
    </row>
    <row r="974" spans="1:2" x14ac:dyDescent="0.25">
      <c r="A974" s="6"/>
      <c r="B974" s="6"/>
    </row>
    <row r="975" spans="1:2" x14ac:dyDescent="0.25">
      <c r="A975" s="6"/>
      <c r="B975" s="6"/>
    </row>
    <row r="976" spans="1:2" x14ac:dyDescent="0.25">
      <c r="A976" s="6"/>
      <c r="B976" s="6"/>
    </row>
    <row r="977" spans="1:2" x14ac:dyDescent="0.25">
      <c r="A977" s="6"/>
      <c r="B977" s="6"/>
    </row>
    <row r="978" spans="1:2" x14ac:dyDescent="0.25">
      <c r="A978" s="6"/>
      <c r="B978" s="6"/>
    </row>
    <row r="979" spans="1:2" x14ac:dyDescent="0.25">
      <c r="A979" s="6"/>
      <c r="B979" s="6"/>
    </row>
    <row r="980" spans="1:2" x14ac:dyDescent="0.25">
      <c r="A980" s="6"/>
      <c r="B980" s="6"/>
    </row>
    <row r="981" spans="1:2" x14ac:dyDescent="0.25">
      <c r="A981" s="6"/>
      <c r="B981" s="6"/>
    </row>
    <row r="982" spans="1:2" x14ac:dyDescent="0.25">
      <c r="A982" s="6"/>
      <c r="B982" s="6"/>
    </row>
    <row r="983" spans="1:2" x14ac:dyDescent="0.25">
      <c r="A983" s="6"/>
      <c r="B983" s="6"/>
    </row>
    <row r="984" spans="1:2" x14ac:dyDescent="0.25">
      <c r="A984" s="6"/>
      <c r="B984" s="6"/>
    </row>
    <row r="985" spans="1:2" x14ac:dyDescent="0.25">
      <c r="A985" s="6"/>
      <c r="B985" s="6"/>
    </row>
    <row r="986" spans="1:2" x14ac:dyDescent="0.25">
      <c r="A986" s="6"/>
      <c r="B986" s="6"/>
    </row>
    <row r="987" spans="1:2" x14ac:dyDescent="0.25">
      <c r="A987" s="6"/>
      <c r="B987" s="6"/>
    </row>
    <row r="988" spans="1:2" x14ac:dyDescent="0.25">
      <c r="A988" s="6"/>
      <c r="B988" s="6"/>
    </row>
    <row r="989" spans="1:2" x14ac:dyDescent="0.25">
      <c r="A989" s="6"/>
      <c r="B989" s="6"/>
    </row>
    <row r="990" spans="1:2" x14ac:dyDescent="0.25">
      <c r="A990" s="6"/>
      <c r="B990" s="6"/>
    </row>
    <row r="991" spans="1:2" x14ac:dyDescent="0.25">
      <c r="A991" s="6"/>
      <c r="B991" s="6"/>
    </row>
    <row r="992" spans="1:2" x14ac:dyDescent="0.25">
      <c r="A992" s="6"/>
      <c r="B992" s="6"/>
    </row>
    <row r="993" spans="1:2" x14ac:dyDescent="0.25">
      <c r="A993" s="6"/>
      <c r="B993" s="6"/>
    </row>
    <row r="994" spans="1:2" x14ac:dyDescent="0.25">
      <c r="A994" s="6"/>
      <c r="B994" s="6"/>
    </row>
    <row r="995" spans="1:2" x14ac:dyDescent="0.25">
      <c r="A995" s="6"/>
      <c r="B995" s="6"/>
    </row>
    <row r="996" spans="1:2" x14ac:dyDescent="0.25">
      <c r="A996" s="6"/>
      <c r="B996" s="6"/>
    </row>
    <row r="997" spans="1:2" x14ac:dyDescent="0.25">
      <c r="A997" s="6"/>
      <c r="B997" s="6"/>
    </row>
    <row r="998" spans="1:2" x14ac:dyDescent="0.25">
      <c r="A998" s="6"/>
      <c r="B998" s="6"/>
    </row>
    <row r="999" spans="1:2" x14ac:dyDescent="0.25">
      <c r="A999" s="6"/>
      <c r="B999" s="6"/>
    </row>
    <row r="1000" spans="1:2" x14ac:dyDescent="0.25">
      <c r="A1000" s="6"/>
      <c r="B1000" s="6"/>
    </row>
  </sheetData>
  <hyperlinks>
    <hyperlink ref="B9" location="'HelpNotes'!B2" display="HelpNotes" xr:uid="{FA4FB6DB-75FA-4ED4-9334-32DDF87FA6F0}"/>
    <hyperlink ref="B10" location="'WS_Navigation'!B2" display="WS_Navigation" xr:uid="{6195B46A-11B8-4E57-AEA1-E5A36941715D}"/>
    <hyperlink ref="B11" location="'SOI'!B2" display="SOI" xr:uid="{CF156202-4437-498C-95A5-C3D17DF01560}"/>
    <hyperlink ref="B12" location="'ephem'!B2" display="ephem" xr:uid="{C0BA4B80-C449-41C7-965B-9E593355BD8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1]!lwsTOC">
                <anchor mov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38100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BBFA7-54D7-41BB-898B-05E327E9CAEC}">
  <sheetPr codeName="Sheet1"/>
  <dimension ref="A1:I50"/>
  <sheetViews>
    <sheetView zoomScale="80" zoomScaleNormal="80" workbookViewId="0"/>
  </sheetViews>
  <sheetFormatPr defaultRowHeight="12.75" x14ac:dyDescent="0.25"/>
  <cols>
    <col min="1" max="2" width="6.7109375" style="3" customWidth="1"/>
    <col min="3" max="3" width="16.42578125" style="3" bestFit="1" customWidth="1"/>
    <col min="4" max="4" width="14.85546875" style="3" bestFit="1" customWidth="1"/>
    <col min="5" max="5" width="11.7109375" style="3" bestFit="1" customWidth="1"/>
    <col min="6" max="6" width="20.7109375" style="3" bestFit="1" customWidth="1"/>
    <col min="7" max="8" width="11.7109375" style="3" customWidth="1"/>
    <col min="9" max="16384" width="9.140625" style="3"/>
  </cols>
  <sheetData>
    <row r="1" spans="1:6" x14ac:dyDescent="0.25">
      <c r="A1" s="8" t="s">
        <v>83</v>
      </c>
      <c r="B1" s="23" t="s">
        <v>82</v>
      </c>
    </row>
    <row r="2" spans="1:6" x14ac:dyDescent="0.25">
      <c r="A2" s="8" t="s">
        <v>84</v>
      </c>
      <c r="B2" s="8" t="s">
        <v>103</v>
      </c>
    </row>
    <row r="3" spans="1:6" x14ac:dyDescent="0.25">
      <c r="A3" s="8" t="s">
        <v>85</v>
      </c>
      <c r="B3" s="8"/>
    </row>
    <row r="4" spans="1:6" x14ac:dyDescent="0.25">
      <c r="B4" s="8"/>
      <c r="C4" s="8"/>
    </row>
    <row r="5" spans="1:6" x14ac:dyDescent="0.25">
      <c r="B5" s="8"/>
      <c r="C5" s="8"/>
    </row>
    <row r="6" spans="1:6" x14ac:dyDescent="0.25">
      <c r="B6" s="8"/>
      <c r="C6" s="8"/>
    </row>
    <row r="7" spans="1:6" x14ac:dyDescent="0.25">
      <c r="B7" s="8"/>
      <c r="C7" s="8"/>
    </row>
    <row r="8" spans="1:6" x14ac:dyDescent="0.25">
      <c r="C8" s="3" t="s">
        <v>76</v>
      </c>
    </row>
    <row r="9" spans="1:6" x14ac:dyDescent="0.25">
      <c r="C9" s="3" t="s">
        <v>47</v>
      </c>
    </row>
    <row r="10" spans="1:6" x14ac:dyDescent="0.25">
      <c r="A10" s="6" t="s">
        <v>90</v>
      </c>
    </row>
    <row r="11" spans="1:6" x14ac:dyDescent="0.25">
      <c r="A11" s="6">
        <v>1</v>
      </c>
      <c r="C11" s="3" t="s">
        <v>3</v>
      </c>
      <c r="D11" s="29">
        <v>398600.44150000002</v>
      </c>
      <c r="E11" s="3" t="s">
        <v>4</v>
      </c>
    </row>
    <row r="12" spans="1:6" x14ac:dyDescent="0.25">
      <c r="A12" s="6">
        <v>2</v>
      </c>
      <c r="C12" s="3" t="s">
        <v>11</v>
      </c>
      <c r="D12" s="29">
        <v>924644.23</v>
      </c>
      <c r="E12" s="3" t="s">
        <v>0</v>
      </c>
    </row>
    <row r="13" spans="1:6" x14ac:dyDescent="0.25">
      <c r="A13" s="6">
        <v>3</v>
      </c>
      <c r="D13" s="29"/>
    </row>
    <row r="14" spans="1:6" x14ac:dyDescent="0.25">
      <c r="A14" s="6">
        <v>4</v>
      </c>
      <c r="C14" s="3" t="s">
        <v>1</v>
      </c>
      <c r="D14" s="29">
        <v>6378.1363000000001</v>
      </c>
      <c r="E14" s="3" t="s">
        <v>0</v>
      </c>
    </row>
    <row r="15" spans="1:6" x14ac:dyDescent="0.25">
      <c r="A15" s="6">
        <v>5</v>
      </c>
      <c r="C15" s="3" t="s">
        <v>2</v>
      </c>
      <c r="D15" s="29">
        <v>180</v>
      </c>
      <c r="E15" s="3" t="s">
        <v>0</v>
      </c>
    </row>
    <row r="16" spans="1:6" x14ac:dyDescent="0.25">
      <c r="A16" s="6">
        <v>6</v>
      </c>
      <c r="C16" s="3" t="s">
        <v>6</v>
      </c>
      <c r="D16" s="29">
        <f>D14+D15</f>
        <v>6558.1363000000001</v>
      </c>
      <c r="E16" s="3" t="s">
        <v>0</v>
      </c>
      <c r="F16" s="3" t="s">
        <v>35</v>
      </c>
    </row>
    <row r="17" spans="1:9" x14ac:dyDescent="0.25">
      <c r="A17" s="6">
        <v>7</v>
      </c>
      <c r="D17" s="29"/>
    </row>
    <row r="18" spans="1:9" x14ac:dyDescent="0.25">
      <c r="A18" s="6">
        <v>8</v>
      </c>
      <c r="B18" s="30" t="s">
        <v>44</v>
      </c>
      <c r="C18" s="31" t="s">
        <v>5</v>
      </c>
      <c r="D18" s="29">
        <f>SQRT(2*D$11/D$16)</f>
        <v>11.025382526270276</v>
      </c>
      <c r="E18" s="3" t="s">
        <v>7</v>
      </c>
      <c r="G18" s="3" t="s">
        <v>37</v>
      </c>
      <c r="H18" s="32">
        <f>(D19^2/(2*D$16^2))-D$11/D$16</f>
        <v>0</v>
      </c>
      <c r="I18" s="3" t="s">
        <v>38</v>
      </c>
    </row>
    <row r="19" spans="1:9" x14ac:dyDescent="0.25">
      <c r="A19" s="6">
        <v>9</v>
      </c>
      <c r="B19" s="30" t="s">
        <v>44</v>
      </c>
      <c r="C19" s="31" t="s">
        <v>33</v>
      </c>
      <c r="D19" s="29">
        <f>D$16*D18</f>
        <v>72305.961366918797</v>
      </c>
      <c r="E19" s="3" t="s">
        <v>8</v>
      </c>
      <c r="F19" s="3" t="s">
        <v>34</v>
      </c>
      <c r="G19" s="3" t="s">
        <v>43</v>
      </c>
      <c r="H19" s="3">
        <f>SQRT(1+(2*H18*D19^2)/$D$11^2)</f>
        <v>1</v>
      </c>
    </row>
    <row r="20" spans="1:9" x14ac:dyDescent="0.25">
      <c r="A20" s="6">
        <v>10</v>
      </c>
      <c r="B20" s="30" t="s">
        <v>44</v>
      </c>
      <c r="C20" s="31" t="s">
        <v>36</v>
      </c>
      <c r="D20" s="29">
        <f>(D19^2)/D$11</f>
        <v>13116.2726</v>
      </c>
      <c r="E20" s="3" t="s">
        <v>0</v>
      </c>
      <c r="F20" s="3" t="s">
        <v>9</v>
      </c>
    </row>
    <row r="21" spans="1:9" x14ac:dyDescent="0.25">
      <c r="A21" s="6">
        <v>11</v>
      </c>
      <c r="D21" s="29"/>
    </row>
    <row r="22" spans="1:9" x14ac:dyDescent="0.25">
      <c r="A22" s="6">
        <v>12</v>
      </c>
      <c r="C22" s="3" t="s">
        <v>40</v>
      </c>
      <c r="D22" s="33">
        <f>D18+0.2</f>
        <v>11.225382526270275</v>
      </c>
      <c r="E22" s="3" t="s">
        <v>7</v>
      </c>
      <c r="G22" s="3" t="s">
        <v>42</v>
      </c>
      <c r="H22" s="32">
        <f>(D23^2/(2*D$16^2))-D$11/D$16</f>
        <v>2.2250765052540444</v>
      </c>
    </row>
    <row r="23" spans="1:9" x14ac:dyDescent="0.25">
      <c r="A23" s="6">
        <v>13</v>
      </c>
      <c r="C23" s="3" t="s">
        <v>39</v>
      </c>
      <c r="D23" s="29">
        <f>D$16*D22</f>
        <v>73617.58862691879</v>
      </c>
      <c r="E23" s="3" t="s">
        <v>8</v>
      </c>
      <c r="G23" s="3" t="s">
        <v>43</v>
      </c>
      <c r="H23" s="3">
        <f>SQRT(1+(2*H22*D23^2)/$D$11^2)</f>
        <v>1.0732179570322111</v>
      </c>
    </row>
    <row r="24" spans="1:9" x14ac:dyDescent="0.25">
      <c r="A24" s="6">
        <v>14</v>
      </c>
      <c r="C24" s="3" t="s">
        <v>41</v>
      </c>
      <c r="D24" s="29">
        <f>(D23^2)/D$11</f>
        <v>13596.445941824784</v>
      </c>
      <c r="E24" s="3" t="s">
        <v>0</v>
      </c>
    </row>
    <row r="25" spans="1:9" x14ac:dyDescent="0.25">
      <c r="A25" s="6">
        <v>15</v>
      </c>
      <c r="C25" s="3" t="s">
        <v>43</v>
      </c>
      <c r="D25" s="3">
        <f>H23</f>
        <v>1.0732179570322111</v>
      </c>
    </row>
    <row r="26" spans="1:9" x14ac:dyDescent="0.25">
      <c r="A26" s="6">
        <v>16</v>
      </c>
      <c r="C26" s="3" t="s">
        <v>12</v>
      </c>
      <c r="D26" s="29">
        <f>D$12-D24</f>
        <v>911047.78405817517</v>
      </c>
    </row>
    <row r="27" spans="1:9" x14ac:dyDescent="0.25">
      <c r="A27" s="6">
        <v>17</v>
      </c>
    </row>
    <row r="28" spans="1:9" x14ac:dyDescent="0.25">
      <c r="A28" s="6">
        <v>18</v>
      </c>
      <c r="C28" s="3" t="s">
        <v>10</v>
      </c>
      <c r="D28" s="3">
        <f>PI()-ACOS((D$12-D$24)/(D$25*D$12))</f>
        <v>2.7339951840716012</v>
      </c>
      <c r="E28" s="3" t="s">
        <v>13</v>
      </c>
      <c r="F28" s="29"/>
    </row>
    <row r="29" spans="1:9" x14ac:dyDescent="0.25">
      <c r="A29" s="6">
        <v>19</v>
      </c>
      <c r="D29" s="3">
        <f>DEGREES(D28)</f>
        <v>156.64638525639538</v>
      </c>
      <c r="E29" s="3" t="s">
        <v>14</v>
      </c>
    </row>
    <row r="30" spans="1:9" x14ac:dyDescent="0.25">
      <c r="A30" s="6">
        <v>20</v>
      </c>
      <c r="C30" s="3" t="s">
        <v>16</v>
      </c>
      <c r="D30" s="3">
        <f>-((D12-D24)/(D25*D12))</f>
        <v>-0.91807584607666604</v>
      </c>
    </row>
    <row r="31" spans="1:9" x14ac:dyDescent="0.25">
      <c r="A31" s="6">
        <v>21</v>
      </c>
      <c r="C31" s="3" t="s">
        <v>15</v>
      </c>
      <c r="D31" s="34">
        <f>D$16*D$12*(1-D$30)</f>
        <v>11631102388.0478</v>
      </c>
    </row>
    <row r="32" spans="1:9" x14ac:dyDescent="0.25">
      <c r="A32" s="6">
        <v>22</v>
      </c>
      <c r="C32" s="3" t="s">
        <v>17</v>
      </c>
      <c r="D32" s="29">
        <f>D12+D16</f>
        <v>931202.36629999999</v>
      </c>
    </row>
    <row r="33" spans="1:6" x14ac:dyDescent="0.25">
      <c r="A33" s="6">
        <v>23</v>
      </c>
      <c r="C33" s="3" t="s">
        <v>18</v>
      </c>
      <c r="D33" s="34">
        <f>D$16*D$12*(1+D$30)</f>
        <v>496783390.649297</v>
      </c>
    </row>
    <row r="34" spans="1:6" x14ac:dyDescent="0.25">
      <c r="A34" s="6">
        <v>24</v>
      </c>
      <c r="C34" s="3" t="s">
        <v>30</v>
      </c>
      <c r="D34" s="3">
        <f>1-(D12/D24)*(1-D30)</f>
        <v>-129.44127644574226</v>
      </c>
    </row>
    <row r="35" spans="1:6" x14ac:dyDescent="0.25">
      <c r="A35" s="6">
        <v>25</v>
      </c>
      <c r="C35" s="3" t="s">
        <v>31</v>
      </c>
      <c r="D35" s="3">
        <f>(D12*D16)*(SIN(D28))/(SQRT(D11*D24))</f>
        <v>32652.195281661567</v>
      </c>
    </row>
    <row r="36" spans="1:6" x14ac:dyDescent="0.25">
      <c r="A36" s="6">
        <v>26</v>
      </c>
      <c r="C36" s="3" t="s">
        <v>19</v>
      </c>
      <c r="D36" s="3">
        <f>D33*D31*D24</f>
        <v>7.8562147505692817E+22</v>
      </c>
    </row>
    <row r="37" spans="1:6" x14ac:dyDescent="0.25">
      <c r="A37" s="6">
        <v>27</v>
      </c>
      <c r="C37" s="3" t="s">
        <v>20</v>
      </c>
      <c r="D37" s="3">
        <f>((2*D33-D32^2)*D24^2)+(2*D31*D32*D24)-D31^2</f>
        <v>-8.7710283490603827E+17</v>
      </c>
      <c r="F37" s="3" t="s">
        <v>29</v>
      </c>
    </row>
    <row r="38" spans="1:6" x14ac:dyDescent="0.25">
      <c r="A38" s="6">
        <v>28</v>
      </c>
      <c r="C38" s="13" t="s">
        <v>32</v>
      </c>
      <c r="D38" s="6">
        <f>IF(D37=0,"na", D36/D37)</f>
        <v>-89570.053110259265</v>
      </c>
    </row>
    <row r="39" spans="1:6" x14ac:dyDescent="0.25">
      <c r="A39" s="6">
        <v>29</v>
      </c>
      <c r="C39" s="13" t="s">
        <v>21</v>
      </c>
    </row>
    <row r="40" spans="1:6" x14ac:dyDescent="0.25">
      <c r="A40" s="6">
        <v>30</v>
      </c>
    </row>
    <row r="41" spans="1:6" x14ac:dyDescent="0.25">
      <c r="A41" s="6">
        <v>31</v>
      </c>
      <c r="C41" s="13" t="s">
        <v>22</v>
      </c>
    </row>
    <row r="42" spans="1:6" x14ac:dyDescent="0.25">
      <c r="A42" s="6">
        <v>32</v>
      </c>
      <c r="C42" s="3" t="s">
        <v>23</v>
      </c>
      <c r="D42" s="3">
        <f>SQRT((D12^2)+(D16^2)-(2*D12*D16*D30))</f>
        <v>930668.72743281792</v>
      </c>
    </row>
    <row r="43" spans="1:6" x14ac:dyDescent="0.25">
      <c r="A43" s="6">
        <v>33</v>
      </c>
      <c r="C43" s="3" t="s">
        <v>24</v>
      </c>
      <c r="D43" s="3">
        <f>(D12+D16+D42)/2</f>
        <v>930935.54686640901</v>
      </c>
    </row>
    <row r="44" spans="1:6" x14ac:dyDescent="0.25">
      <c r="A44" s="6">
        <v>34</v>
      </c>
      <c r="C44" s="3" t="s">
        <v>25</v>
      </c>
      <c r="D44" s="3">
        <f>(2/3)*SQRT((D43^3)/(2*D11))*(1-((D43-D42)/D43)^(3/2))</f>
        <v>670659.6356830342</v>
      </c>
      <c r="E44" s="3" t="s">
        <v>26</v>
      </c>
    </row>
    <row r="45" spans="1:6" x14ac:dyDescent="0.25">
      <c r="A45" s="6">
        <v>35</v>
      </c>
      <c r="D45" s="3">
        <f>CONVERT(D44,"sec","day")</f>
        <v>7.7622643018869697</v>
      </c>
      <c r="E45" s="3" t="s">
        <v>27</v>
      </c>
    </row>
    <row r="46" spans="1:6" x14ac:dyDescent="0.25">
      <c r="A46" s="6">
        <v>36</v>
      </c>
      <c r="C46" s="13" t="s">
        <v>28</v>
      </c>
    </row>
    <row r="47" spans="1:6" x14ac:dyDescent="0.25">
      <c r="A47" s="6">
        <v>37</v>
      </c>
      <c r="C47" s="3" t="s">
        <v>45</v>
      </c>
      <c r="D47" s="6">
        <f>IF(D38="na","na",1+(D34-1)*(D16/D38))</f>
        <v>10.550643774031377</v>
      </c>
    </row>
    <row r="48" spans="1:6" x14ac:dyDescent="0.25">
      <c r="A48" s="6">
        <v>38</v>
      </c>
      <c r="C48" s="3" t="s">
        <v>46</v>
      </c>
      <c r="D48" s="3">
        <f>ACOSH(D47)</f>
        <v>3.0470805991209615</v>
      </c>
    </row>
    <row r="49" spans="1:5" x14ac:dyDescent="0.25">
      <c r="A49" s="6">
        <v>39</v>
      </c>
      <c r="D49" s="3">
        <f>D35+SQRT((-D38)^3/D11)*(SINH(D48)-D48)</f>
        <v>349233.37363988021</v>
      </c>
      <c r="E49" s="3" t="s">
        <v>26</v>
      </c>
    </row>
    <row r="50" spans="1:5" x14ac:dyDescent="0.25">
      <c r="A50" s="6">
        <v>40</v>
      </c>
      <c r="D50" s="3">
        <f>CONVERT(D49,"sec","day")</f>
        <v>4.0420529356467618</v>
      </c>
      <c r="E50" s="3" t="s">
        <v>27</v>
      </c>
    </row>
  </sheetData>
  <hyperlinks>
    <hyperlink ref="B1" location="WS_Navigation!B2" tooltip="go to navigation sheet" display="Navigate to Worksheet TOC (table of contents)" xr:uid="{713A44BC-58FF-42DC-B8FD-88C73EDCE550}"/>
  </hyperlink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1E507-5F65-407D-8697-4019D180696F}">
  <sheetPr codeName="Sheet2"/>
  <dimension ref="A1:I75"/>
  <sheetViews>
    <sheetView zoomScale="80" zoomScaleNormal="80" workbookViewId="0">
      <selection activeCell="B3" sqref="B3"/>
    </sheetView>
  </sheetViews>
  <sheetFormatPr defaultRowHeight="12.75" x14ac:dyDescent="0.25"/>
  <cols>
    <col min="1" max="1" width="6.7109375" style="3" customWidth="1"/>
    <col min="2" max="2" width="16.7109375" style="3" customWidth="1"/>
    <col min="3" max="3" width="18.7109375" style="3" bestFit="1" customWidth="1"/>
    <col min="4" max="5" width="16.7109375" style="3" customWidth="1"/>
    <col min="6" max="6" width="13.42578125" style="3" bestFit="1" customWidth="1"/>
    <col min="7" max="7" width="2.7109375" style="3" customWidth="1"/>
    <col min="8" max="8" width="18.28515625" style="3" bestFit="1" customWidth="1"/>
    <col min="9" max="9" width="11.7109375" style="3" customWidth="1"/>
    <col min="10" max="16384" width="9.140625" style="3"/>
  </cols>
  <sheetData>
    <row r="1" spans="1:6" x14ac:dyDescent="0.25">
      <c r="A1" s="8" t="s">
        <v>83</v>
      </c>
      <c r="B1" s="23" t="s">
        <v>82</v>
      </c>
    </row>
    <row r="2" spans="1:6" x14ac:dyDescent="0.25">
      <c r="A2" s="8" t="s">
        <v>84</v>
      </c>
      <c r="B2" s="8" t="s">
        <v>104</v>
      </c>
    </row>
    <row r="3" spans="1:6" x14ac:dyDescent="0.25">
      <c r="A3" s="8" t="s">
        <v>85</v>
      </c>
      <c r="B3" s="8"/>
    </row>
    <row r="4" spans="1:6" x14ac:dyDescent="0.25">
      <c r="A4" s="8"/>
      <c r="B4" s="8"/>
    </row>
    <row r="5" spans="1:6" x14ac:dyDescent="0.25">
      <c r="A5" s="8"/>
      <c r="B5" s="8"/>
    </row>
    <row r="6" spans="1:6" x14ac:dyDescent="0.25">
      <c r="A6" s="8"/>
      <c r="B6" s="8"/>
    </row>
    <row r="7" spans="1:6" x14ac:dyDescent="0.25">
      <c r="A7" s="8"/>
      <c r="B7" s="8"/>
    </row>
    <row r="8" spans="1:6" x14ac:dyDescent="0.25">
      <c r="B8" s="8" t="s">
        <v>81</v>
      </c>
    </row>
    <row r="10" spans="1:6" x14ac:dyDescent="0.25">
      <c r="B10" s="3" t="s">
        <v>68</v>
      </c>
    </row>
    <row r="11" spans="1:6" x14ac:dyDescent="0.25">
      <c r="B11" s="3" t="s">
        <v>80</v>
      </c>
    </row>
    <row r="13" spans="1:6" x14ac:dyDescent="0.25">
      <c r="B13" s="13" t="s">
        <v>54</v>
      </c>
      <c r="C13" s="6" t="s">
        <v>56</v>
      </c>
      <c r="D13" s="6" t="s">
        <v>55</v>
      </c>
      <c r="E13" s="8" t="s">
        <v>59</v>
      </c>
    </row>
    <row r="14" spans="1:6" x14ac:dyDescent="0.25">
      <c r="A14" s="3" t="s">
        <v>90</v>
      </c>
      <c r="B14" s="13" t="s">
        <v>61</v>
      </c>
      <c r="C14" s="5">
        <v>28376.380752314813</v>
      </c>
      <c r="D14" s="3">
        <v>2443394.8810000001</v>
      </c>
      <c r="E14" s="3">
        <v>-0.223138104</v>
      </c>
    </row>
    <row r="15" spans="1:6" x14ac:dyDescent="0.25">
      <c r="A15" s="6">
        <v>1</v>
      </c>
      <c r="B15" s="4">
        <v>1.0000010180000001</v>
      </c>
      <c r="C15" s="3">
        <v>0</v>
      </c>
      <c r="D15" s="4">
        <v>0</v>
      </c>
      <c r="E15" s="4">
        <v>0</v>
      </c>
      <c r="F15" s="3" t="s">
        <v>48</v>
      </c>
    </row>
    <row r="16" spans="1:6" x14ac:dyDescent="0.25">
      <c r="A16" s="6">
        <v>2</v>
      </c>
      <c r="B16" s="4">
        <v>1.670862E-2</v>
      </c>
      <c r="C16" s="4">
        <v>-4.2036999999999997E-5</v>
      </c>
      <c r="D16" s="4">
        <v>-1.236E-7</v>
      </c>
      <c r="E16" s="4">
        <v>3.9999999999999998E-11</v>
      </c>
      <c r="F16" s="3" t="s">
        <v>49</v>
      </c>
    </row>
    <row r="17" spans="1:6" x14ac:dyDescent="0.25">
      <c r="A17" s="6">
        <v>3</v>
      </c>
      <c r="B17" s="4">
        <v>0</v>
      </c>
      <c r="C17" s="4">
        <v>1.30546E-2</v>
      </c>
      <c r="D17" s="4">
        <v>-9.3100000000000006E-6</v>
      </c>
      <c r="E17" s="4">
        <v>-3.4E-8</v>
      </c>
      <c r="F17" s="3" t="s">
        <v>50</v>
      </c>
    </row>
    <row r="18" spans="1:6" x14ac:dyDescent="0.25">
      <c r="A18" s="6">
        <v>4</v>
      </c>
      <c r="B18" s="4">
        <v>174.87317400000001</v>
      </c>
      <c r="C18" s="4">
        <v>-0.24109079999999999</v>
      </c>
      <c r="D18" s="4">
        <v>4.0670000000000002E-5</v>
      </c>
      <c r="E18" s="4">
        <v>-1.327E-6</v>
      </c>
      <c r="F18" s="3" t="s">
        <v>51</v>
      </c>
    </row>
    <row r="19" spans="1:6" x14ac:dyDescent="0.25">
      <c r="A19" s="6">
        <v>5</v>
      </c>
      <c r="B19" s="4">
        <v>102.937348</v>
      </c>
      <c r="C19" s="4">
        <v>0.32255499999999998</v>
      </c>
      <c r="D19" s="4">
        <v>1.5025999999999999E-4</v>
      </c>
      <c r="E19" s="4">
        <v>4.7800000000000002E-7</v>
      </c>
      <c r="F19" s="3" t="s">
        <v>52</v>
      </c>
    </row>
    <row r="20" spans="1:6" x14ac:dyDescent="0.25">
      <c r="A20" s="6">
        <v>6</v>
      </c>
      <c r="B20" s="4">
        <v>100.466449</v>
      </c>
      <c r="C20" s="4">
        <v>35999.372851</v>
      </c>
      <c r="D20" s="4">
        <v>-5.6799999999999998E-6</v>
      </c>
      <c r="E20" s="4">
        <v>0</v>
      </c>
      <c r="F20" s="3" t="s">
        <v>53</v>
      </c>
    </row>
    <row r="22" spans="1:6" x14ac:dyDescent="0.25">
      <c r="B22" s="6" t="s">
        <v>62</v>
      </c>
      <c r="C22" s="6" t="s">
        <v>63</v>
      </c>
      <c r="D22" s="6" t="s">
        <v>64</v>
      </c>
      <c r="E22" s="6" t="s">
        <v>65</v>
      </c>
    </row>
    <row r="23" spans="1:6" x14ac:dyDescent="0.25">
      <c r="A23" s="6">
        <v>1</v>
      </c>
      <c r="B23" s="4">
        <f>B15</f>
        <v>1.0000010180000001</v>
      </c>
      <c r="C23" s="3">
        <f t="shared" ref="C23:C28" si="0">C15*$E$14</f>
        <v>0</v>
      </c>
      <c r="D23" s="3">
        <f t="shared" ref="D23:D28" si="1">D15*($E$14^2)</f>
        <v>0</v>
      </c>
      <c r="E23" s="3">
        <f t="shared" ref="E23:E28" si="2">E15*($E$14^3)</f>
        <v>0</v>
      </c>
      <c r="F23" s="3" t="s">
        <v>48</v>
      </c>
    </row>
    <row r="24" spans="1:6" x14ac:dyDescent="0.25">
      <c r="A24" s="6">
        <v>2</v>
      </c>
      <c r="B24" s="4">
        <f t="shared" ref="B24:B28" si="3">B16</f>
        <v>1.670862E-2</v>
      </c>
      <c r="C24" s="3">
        <f t="shared" si="0"/>
        <v>9.3800564778479992E-6</v>
      </c>
      <c r="D24" s="3">
        <f t="shared" si="1"/>
        <v>-6.1541198232499511E-9</v>
      </c>
      <c r="E24" s="3">
        <f t="shared" si="2"/>
        <v>-4.4440732334912919E-13</v>
      </c>
      <c r="F24" s="3" t="s">
        <v>49</v>
      </c>
    </row>
    <row r="25" spans="1:6" x14ac:dyDescent="0.25">
      <c r="A25" s="6">
        <v>3</v>
      </c>
      <c r="B25" s="4">
        <f t="shared" si="3"/>
        <v>0</v>
      </c>
      <c r="C25" s="3">
        <f t="shared" si="0"/>
        <v>-2.9129786924783998E-3</v>
      </c>
      <c r="D25" s="3">
        <f t="shared" si="1"/>
        <v>-4.6355061128201495E-7</v>
      </c>
      <c r="E25" s="3">
        <f t="shared" si="2"/>
        <v>3.7774622484675983E-10</v>
      </c>
      <c r="F25" s="3" t="s">
        <v>50</v>
      </c>
    </row>
    <row r="26" spans="1:6" x14ac:dyDescent="0.25">
      <c r="A26" s="6">
        <v>4</v>
      </c>
      <c r="B26" s="4">
        <f t="shared" si="3"/>
        <v>174.87317400000001</v>
      </c>
      <c r="C26" s="3">
        <f t="shared" si="0"/>
        <v>5.3796544003843198E-2</v>
      </c>
      <c r="D26" s="3">
        <f t="shared" si="1"/>
        <v>2.0249842492845917E-6</v>
      </c>
      <c r="E26" s="3">
        <f t="shared" si="2"/>
        <v>1.4743212952107361E-8</v>
      </c>
      <c r="F26" s="3" t="s">
        <v>51</v>
      </c>
    </row>
    <row r="27" spans="1:6" x14ac:dyDescent="0.25">
      <c r="A27" s="6">
        <v>5</v>
      </c>
      <c r="B27" s="4">
        <f t="shared" si="3"/>
        <v>102.937348</v>
      </c>
      <c r="C27" s="3">
        <f t="shared" si="0"/>
        <v>-7.1974311135720004E-2</v>
      </c>
      <c r="D27" s="3">
        <f t="shared" si="1"/>
        <v>7.4815375780059674E-6</v>
      </c>
      <c r="E27" s="3">
        <f t="shared" si="2"/>
        <v>-5.3106675140220939E-9</v>
      </c>
      <c r="F27" s="3" t="s">
        <v>52</v>
      </c>
    </row>
    <row r="28" spans="1:6" x14ac:dyDescent="0.25">
      <c r="A28" s="6">
        <v>6</v>
      </c>
      <c r="B28" s="4">
        <f t="shared" si="3"/>
        <v>100.466449</v>
      </c>
      <c r="C28" s="3">
        <f t="shared" si="0"/>
        <v>-8032.8318031612143</v>
      </c>
      <c r="D28" s="3">
        <f t="shared" si="1"/>
        <v>-2.8281068443414014E-7</v>
      </c>
      <c r="E28" s="3">
        <f t="shared" si="2"/>
        <v>0</v>
      </c>
      <c r="F28" s="3" t="s">
        <v>53</v>
      </c>
    </row>
    <row r="29" spans="1:6" x14ac:dyDescent="0.25">
      <c r="A29" s="6"/>
      <c r="B29" s="4"/>
    </row>
    <row r="30" spans="1:6" x14ac:dyDescent="0.25">
      <c r="C30" s="6" t="s">
        <v>57</v>
      </c>
      <c r="D30" s="6" t="s">
        <v>58</v>
      </c>
      <c r="E30" s="6" t="s">
        <v>60</v>
      </c>
    </row>
    <row r="31" spans="1:6" x14ac:dyDescent="0.25">
      <c r="A31" s="6">
        <v>1</v>
      </c>
      <c r="C31" s="3">
        <f>SUM($B23:$E23)</f>
        <v>1.0000010180000001</v>
      </c>
      <c r="E31" s="11">
        <f>C31</f>
        <v>1.0000010180000001</v>
      </c>
      <c r="F31" s="3" t="s">
        <v>48</v>
      </c>
    </row>
    <row r="32" spans="1:6" x14ac:dyDescent="0.25">
      <c r="A32" s="6">
        <v>2</v>
      </c>
      <c r="C32" s="3">
        <f t="shared" ref="C32:C36" si="4">SUM($B24:$E24)</f>
        <v>1.6717993901913614E-2</v>
      </c>
      <c r="E32" s="11">
        <f>C32</f>
        <v>1.6717993901913614E-2</v>
      </c>
      <c r="F32" s="3" t="s">
        <v>49</v>
      </c>
    </row>
    <row r="33" spans="1:9" x14ac:dyDescent="0.25">
      <c r="A33" s="6">
        <v>3</v>
      </c>
      <c r="C33" s="4">
        <f>SUM($B25:$E25)</f>
        <v>-2.9134418653434567E-3</v>
      </c>
      <c r="D33" s="7">
        <f>MOD(C33,360)</f>
        <v>359.99708655813464</v>
      </c>
      <c r="E33" s="12">
        <f>D33</f>
        <v>359.99708655813464</v>
      </c>
      <c r="F33" s="3" t="s">
        <v>50</v>
      </c>
      <c r="G33" s="7"/>
      <c r="H33" s="7">
        <f>360-E33</f>
        <v>2.9134418653598004E-3</v>
      </c>
    </row>
    <row r="34" spans="1:9" x14ac:dyDescent="0.25">
      <c r="A34" s="6">
        <v>4</v>
      </c>
      <c r="C34" s="3">
        <f t="shared" si="4"/>
        <v>174.9269725837313</v>
      </c>
      <c r="D34" s="7">
        <f t="shared" ref="D34:D36" si="5">MOD(C34,360)</f>
        <v>174.9269725837313</v>
      </c>
      <c r="E34" s="12">
        <f t="shared" ref="E34:E36" si="6">D34</f>
        <v>174.9269725837313</v>
      </c>
      <c r="F34" s="3" t="s">
        <v>51</v>
      </c>
    </row>
    <row r="35" spans="1:9" x14ac:dyDescent="0.25">
      <c r="A35" s="6">
        <v>5</v>
      </c>
      <c r="C35" s="3">
        <f t="shared" si="4"/>
        <v>102.86538116509119</v>
      </c>
      <c r="D35" s="7">
        <f t="shared" si="5"/>
        <v>102.86538116509119</v>
      </c>
      <c r="E35" s="12">
        <f t="shared" si="6"/>
        <v>102.86538116509119</v>
      </c>
      <c r="F35" s="3" t="s">
        <v>52</v>
      </c>
    </row>
    <row r="36" spans="1:9" x14ac:dyDescent="0.25">
      <c r="A36" s="6">
        <v>6</v>
      </c>
      <c r="C36" s="3">
        <f t="shared" si="4"/>
        <v>-7932.3653544440258</v>
      </c>
      <c r="D36" s="7">
        <f t="shared" si="5"/>
        <v>347.6346455559742</v>
      </c>
      <c r="E36" s="12">
        <f t="shared" si="6"/>
        <v>347.6346455559742</v>
      </c>
      <c r="F36" s="3" t="s">
        <v>53</v>
      </c>
    </row>
    <row r="37" spans="1:9" x14ac:dyDescent="0.25">
      <c r="A37" s="13"/>
      <c r="B37" s="13" t="s">
        <v>77</v>
      </c>
      <c r="C37" s="13"/>
      <c r="D37" s="13"/>
      <c r="E37" s="13"/>
      <c r="F37" s="13"/>
      <c r="G37" s="13"/>
    </row>
    <row r="38" spans="1:9" x14ac:dyDescent="0.25">
      <c r="B38" s="13" t="s">
        <v>69</v>
      </c>
    </row>
    <row r="39" spans="1:9" x14ac:dyDescent="0.25">
      <c r="B39" s="13" t="s">
        <v>78</v>
      </c>
      <c r="E39" s="3" t="s">
        <v>67</v>
      </c>
    </row>
    <row r="40" spans="1:9" x14ac:dyDescent="0.25">
      <c r="B40" s="6" t="s">
        <v>62</v>
      </c>
      <c r="C40" s="6" t="s">
        <v>66</v>
      </c>
      <c r="D40" s="6" t="s">
        <v>63</v>
      </c>
      <c r="E40" s="6" t="s">
        <v>60</v>
      </c>
      <c r="H40" s="8" t="s">
        <v>73</v>
      </c>
    </row>
    <row r="41" spans="1:9" x14ac:dyDescent="0.25">
      <c r="A41" s="6">
        <v>1</v>
      </c>
      <c r="B41" s="3">
        <v>1.0000026099999999</v>
      </c>
      <c r="C41" s="3">
        <v>5.6200000000000004E-6</v>
      </c>
      <c r="D41" s="3">
        <f t="shared" ref="D41:D46" si="7">C41*$E$14</f>
        <v>-1.25403614448E-6</v>
      </c>
      <c r="E41" s="11">
        <f>B41+D41</f>
        <v>1.0000013559638554</v>
      </c>
      <c r="F41" s="3" t="s">
        <v>48</v>
      </c>
      <c r="H41" s="14">
        <f>IF(E41=0,"na",(E31-E41)/E41)</f>
        <v>-3.3796339707963997E-7</v>
      </c>
    </row>
    <row r="42" spans="1:9" x14ac:dyDescent="0.25">
      <c r="A42" s="6">
        <v>2</v>
      </c>
      <c r="B42" s="3">
        <v>1.6711230000000001E-2</v>
      </c>
      <c r="C42" s="3">
        <v>-4.392E-5</v>
      </c>
      <c r="D42" s="3">
        <f t="shared" si="7"/>
        <v>9.8002255276799995E-6</v>
      </c>
      <c r="E42" s="11">
        <f t="shared" ref="E42" si="8">B42+D42</f>
        <v>1.6721030225527681E-2</v>
      </c>
      <c r="F42" s="3" t="s">
        <v>49</v>
      </c>
      <c r="H42" s="14">
        <f>IF(E42=0,"na",(E32-E42)/E42)</f>
        <v>-1.8158711353993015E-4</v>
      </c>
    </row>
    <row r="43" spans="1:9" x14ac:dyDescent="0.25">
      <c r="A43" s="6">
        <v>3</v>
      </c>
      <c r="B43" s="3">
        <v>-1.5310000000000001E-5</v>
      </c>
      <c r="C43" s="3">
        <v>-1.294668E-2</v>
      </c>
      <c r="D43" s="3">
        <f t="shared" si="7"/>
        <v>2.8888976282947201E-3</v>
      </c>
      <c r="E43" s="11">
        <f>MOD(B43+D43,360)</f>
        <v>2.87358762829472E-3</v>
      </c>
      <c r="F43" s="3" t="s">
        <v>50</v>
      </c>
      <c r="H43" s="14">
        <f>IF(E43=0,"na",((360-E33)-E43)/E43)</f>
        <v>1.3869156685063829E-2</v>
      </c>
    </row>
    <row r="44" spans="1:9" x14ac:dyDescent="0.25">
      <c r="A44" s="6">
        <v>4</v>
      </c>
      <c r="B44" s="3">
        <v>100.46457166</v>
      </c>
      <c r="C44" s="3">
        <v>35999.372449809998</v>
      </c>
      <c r="D44" s="3">
        <f t="shared" si="7"/>
        <v>-8032.8317136404385</v>
      </c>
      <c r="E44" s="11">
        <f t="shared" ref="E44:E46" si="9">MOD(B44+D44,360)</f>
        <v>347.63285801956135</v>
      </c>
      <c r="F44" s="10" t="s">
        <v>53</v>
      </c>
      <c r="H44" s="14">
        <f>IF(E44=0,"na", (E36-E44)/E44)</f>
        <v>5.142023751816873E-6</v>
      </c>
    </row>
    <row r="45" spans="1:9" x14ac:dyDescent="0.25">
      <c r="A45" s="6">
        <v>5</v>
      </c>
      <c r="B45" s="3">
        <v>102.93768193</v>
      </c>
      <c r="C45" s="3">
        <v>0.32327363999999997</v>
      </c>
      <c r="D45" s="3">
        <f t="shared" si="7"/>
        <v>-7.2134667102778549E-2</v>
      </c>
      <c r="E45" s="11">
        <f t="shared" si="9"/>
        <v>102.86554726289722</v>
      </c>
      <c r="F45" s="3" t="s">
        <v>52</v>
      </c>
      <c r="H45" s="14">
        <f>IF(E45=0,"na",(E35-E45)/E45)</f>
        <v>-1.6147078438765312E-6</v>
      </c>
    </row>
    <row r="46" spans="1:9" x14ac:dyDescent="0.25">
      <c r="A46" s="6">
        <v>6</v>
      </c>
      <c r="B46" s="3">
        <v>0</v>
      </c>
      <c r="C46" s="3">
        <v>0</v>
      </c>
      <c r="D46" s="3">
        <f t="shared" si="7"/>
        <v>0</v>
      </c>
      <c r="E46" s="11">
        <f t="shared" si="9"/>
        <v>0</v>
      </c>
      <c r="F46" s="9" t="s">
        <v>51</v>
      </c>
      <c r="H46" s="14" t="str">
        <f>IF(E46=0,"na",(E34-E46)/E46)</f>
        <v>na</v>
      </c>
    </row>
    <row r="47" spans="1:9" x14ac:dyDescent="0.25">
      <c r="A47" s="6"/>
      <c r="E47" s="13" t="s">
        <v>74</v>
      </c>
      <c r="F47" s="16"/>
      <c r="G47" s="13"/>
      <c r="H47" s="17"/>
      <c r="I47" s="13"/>
    </row>
    <row r="48" spans="1:9" x14ac:dyDescent="0.25">
      <c r="A48" s="6"/>
      <c r="E48" s="13" t="s">
        <v>72</v>
      </c>
      <c r="F48" s="16"/>
      <c r="G48" s="13"/>
      <c r="H48" s="17"/>
      <c r="I48" s="13"/>
    </row>
    <row r="49" spans="1:9" x14ac:dyDescent="0.25">
      <c r="A49" s="6"/>
      <c r="E49" s="18">
        <v>1.0004412571452299</v>
      </c>
      <c r="F49" s="13" t="s">
        <v>48</v>
      </c>
      <c r="G49" s="13"/>
      <c r="H49" s="17"/>
      <c r="I49" s="13"/>
    </row>
    <row r="50" spans="1:9" x14ac:dyDescent="0.25">
      <c r="A50" s="6"/>
      <c r="E50" s="19">
        <v>1.6212204050503401E-2</v>
      </c>
      <c r="F50" s="13" t="s">
        <v>49</v>
      </c>
      <c r="G50" s="13"/>
      <c r="H50" s="17"/>
      <c r="I50" s="13"/>
    </row>
    <row r="51" spans="1:9" x14ac:dyDescent="0.25">
      <c r="A51" s="6"/>
      <c r="E51" s="20">
        <v>23.441978159762801</v>
      </c>
      <c r="F51" s="13" t="s">
        <v>50</v>
      </c>
      <c r="G51" s="13"/>
      <c r="H51" s="17" t="s">
        <v>75</v>
      </c>
      <c r="I51" s="13"/>
    </row>
    <row r="52" spans="1:9" x14ac:dyDescent="0.25">
      <c r="A52" s="6"/>
      <c r="E52" s="13"/>
      <c r="F52" s="21" t="s">
        <v>53</v>
      </c>
      <c r="G52" s="13"/>
      <c r="H52" s="17"/>
      <c r="I52" s="13"/>
    </row>
    <row r="53" spans="1:9" x14ac:dyDescent="0.25">
      <c r="A53" s="6"/>
      <c r="E53" s="13"/>
      <c r="F53" s="13" t="s">
        <v>52</v>
      </c>
      <c r="G53" s="13"/>
      <c r="H53" s="17" t="s">
        <v>70</v>
      </c>
      <c r="I53" s="20">
        <v>101.992859158361</v>
      </c>
    </row>
    <row r="54" spans="1:9" x14ac:dyDescent="0.25">
      <c r="A54" s="6"/>
      <c r="E54" s="20">
        <v>359.99921574214801</v>
      </c>
      <c r="F54" s="16" t="s">
        <v>51</v>
      </c>
      <c r="G54" s="13"/>
      <c r="H54" s="17" t="s">
        <v>71</v>
      </c>
      <c r="I54" s="13"/>
    </row>
    <row r="55" spans="1:9" x14ac:dyDescent="0.25">
      <c r="A55" s="6"/>
      <c r="E55" s="22"/>
      <c r="F55" s="9"/>
      <c r="H55" s="15"/>
    </row>
    <row r="56" spans="1:9" x14ac:dyDescent="0.25">
      <c r="A56" s="6"/>
      <c r="C56" s="6" t="s">
        <v>56</v>
      </c>
      <c r="D56" s="6" t="s">
        <v>55</v>
      </c>
      <c r="E56" s="8" t="s">
        <v>59</v>
      </c>
      <c r="F56" s="9"/>
      <c r="H56" s="15"/>
    </row>
    <row r="57" spans="1:9" x14ac:dyDescent="0.25">
      <c r="A57" s="6"/>
      <c r="B57" s="13" t="s">
        <v>79</v>
      </c>
      <c r="C57" s="5">
        <f>C14</f>
        <v>28376.380752314813</v>
      </c>
      <c r="D57" s="3">
        <f t="shared" ref="D57:E57" si="10">D14</f>
        <v>2443394.8810000001</v>
      </c>
      <c r="E57" s="3">
        <f t="shared" si="10"/>
        <v>-0.223138104</v>
      </c>
      <c r="F57" s="9"/>
      <c r="H57" s="15"/>
    </row>
    <row r="58" spans="1:9" x14ac:dyDescent="0.25">
      <c r="B58" s="6" t="s">
        <v>62</v>
      </c>
      <c r="C58" s="6" t="s">
        <v>66</v>
      </c>
      <c r="D58" s="6" t="s">
        <v>63</v>
      </c>
      <c r="E58" s="6" t="s">
        <v>60</v>
      </c>
    </row>
    <row r="59" spans="1:9" x14ac:dyDescent="0.25">
      <c r="A59" s="6">
        <v>1</v>
      </c>
      <c r="B59" s="3">
        <v>5.2028869999999996</v>
      </c>
      <c r="C59" s="3">
        <v>-1.1607000000000001E-4</v>
      </c>
      <c r="D59" s="3">
        <f>C59*$E$57</f>
        <v>2.5899639731280002E-5</v>
      </c>
      <c r="E59" s="3">
        <f t="shared" ref="E59:E60" si="11">B59+D59</f>
        <v>5.2029128996397311</v>
      </c>
      <c r="F59" s="3" t="s">
        <v>48</v>
      </c>
    </row>
    <row r="60" spans="1:9" x14ac:dyDescent="0.25">
      <c r="A60" s="6">
        <v>2</v>
      </c>
      <c r="B60" s="3">
        <v>4.8386239999999997E-2</v>
      </c>
      <c r="C60" s="3">
        <v>-1.3253000000000001E-4</v>
      </c>
      <c r="D60" s="3">
        <f t="shared" ref="D60:D64" si="12">C60*$E$57</f>
        <v>2.9572492923120003E-5</v>
      </c>
      <c r="E60" s="3">
        <f t="shared" si="11"/>
        <v>4.8415812492923115E-2</v>
      </c>
      <c r="F60" s="3" t="s">
        <v>49</v>
      </c>
    </row>
    <row r="61" spans="1:9" x14ac:dyDescent="0.25">
      <c r="A61" s="6">
        <v>3</v>
      </c>
      <c r="B61" s="3">
        <v>1.3043969500000001</v>
      </c>
      <c r="C61" s="3">
        <v>-1.8371399999999999E-3</v>
      </c>
      <c r="D61" s="3">
        <f t="shared" si="12"/>
        <v>4.0993593638255998E-4</v>
      </c>
      <c r="E61" s="3">
        <f>MOD(B61+D61,360)</f>
        <v>1.3048068859363826</v>
      </c>
      <c r="F61" s="3" t="s">
        <v>50</v>
      </c>
    </row>
    <row r="62" spans="1:9" x14ac:dyDescent="0.25">
      <c r="A62" s="6">
        <v>4</v>
      </c>
      <c r="B62" s="3">
        <v>34.396440509999998</v>
      </c>
      <c r="C62" s="3">
        <v>3034.7461277500001</v>
      </c>
      <c r="D62" s="3">
        <f t="shared" si="12"/>
        <v>-677.1674970674768</v>
      </c>
      <c r="E62" s="3">
        <f t="shared" ref="E62:E64" si="13">MOD(B62+D62,360)</f>
        <v>77.228943442523246</v>
      </c>
      <c r="F62" s="10" t="s">
        <v>53</v>
      </c>
    </row>
    <row r="63" spans="1:9" x14ac:dyDescent="0.25">
      <c r="A63" s="6">
        <v>5</v>
      </c>
      <c r="B63" s="3">
        <v>14.728479829999999</v>
      </c>
      <c r="C63" s="3">
        <v>0.21252668</v>
      </c>
      <c r="D63" s="3">
        <f t="shared" si="12"/>
        <v>-4.7422800424614719E-2</v>
      </c>
      <c r="E63" s="3">
        <f t="shared" si="13"/>
        <v>14.681057029575385</v>
      </c>
      <c r="F63" s="3" t="s">
        <v>52</v>
      </c>
    </row>
    <row r="64" spans="1:9" x14ac:dyDescent="0.25">
      <c r="A64" s="6">
        <v>6</v>
      </c>
      <c r="B64" s="3">
        <v>100.47390909000001</v>
      </c>
      <c r="C64" s="3">
        <v>0.20469106000000001</v>
      </c>
      <c r="D64" s="3">
        <f t="shared" si="12"/>
        <v>-4.5674375034150241E-2</v>
      </c>
      <c r="E64" s="3">
        <f t="shared" si="13"/>
        <v>100.42823471496585</v>
      </c>
      <c r="F64" s="9" t="s">
        <v>51</v>
      </c>
    </row>
    <row r="65" spans="1:7" x14ac:dyDescent="0.25">
      <c r="A65" s="13"/>
      <c r="B65" s="13"/>
      <c r="C65" s="13"/>
      <c r="D65" s="13"/>
      <c r="E65" s="13"/>
      <c r="F65" s="13"/>
      <c r="G65" s="13"/>
    </row>
    <row r="67" spans="1:7" x14ac:dyDescent="0.25">
      <c r="C67" s="6" t="s">
        <v>56</v>
      </c>
      <c r="D67" s="6" t="s">
        <v>55</v>
      </c>
      <c r="E67" s="8" t="s">
        <v>59</v>
      </c>
    </row>
    <row r="68" spans="1:7" x14ac:dyDescent="0.25">
      <c r="B68" s="13" t="s">
        <v>79</v>
      </c>
      <c r="C68" s="5">
        <v>34474.333333333336</v>
      </c>
      <c r="D68" s="3">
        <v>2449493.3330000001</v>
      </c>
      <c r="E68" s="3">
        <v>-5.6171571980000001E-2</v>
      </c>
    </row>
    <row r="69" spans="1:7" x14ac:dyDescent="0.25">
      <c r="B69" s="6" t="s">
        <v>62</v>
      </c>
      <c r="C69" s="6" t="s">
        <v>66</v>
      </c>
      <c r="D69" s="6" t="s">
        <v>63</v>
      </c>
      <c r="E69" s="6" t="s">
        <v>60</v>
      </c>
    </row>
    <row r="70" spans="1:7" x14ac:dyDescent="0.25">
      <c r="A70" s="6">
        <v>1</v>
      </c>
      <c r="B70" s="3">
        <f>B59</f>
        <v>5.2028869999999996</v>
      </c>
      <c r="C70" s="3">
        <f>C59</f>
        <v>-1.1607000000000001E-4</v>
      </c>
      <c r="D70" s="3">
        <f>C70*$E$68</f>
        <v>6.5198343597186004E-6</v>
      </c>
      <c r="E70" s="11">
        <f>B70+D70</f>
        <v>5.2028935198343591</v>
      </c>
      <c r="F70" s="3" t="s">
        <v>48</v>
      </c>
    </row>
    <row r="71" spans="1:7" x14ac:dyDescent="0.25">
      <c r="A71" s="6">
        <v>2</v>
      </c>
      <c r="B71" s="3">
        <f t="shared" ref="B71:C75" si="14">B60</f>
        <v>4.8386239999999997E-2</v>
      </c>
      <c r="C71" s="3">
        <f t="shared" si="14"/>
        <v>-1.3253000000000001E-4</v>
      </c>
      <c r="D71" s="3">
        <f t="shared" ref="D71:D75" si="15">C71*$E$68</f>
        <v>7.4444184345094005E-6</v>
      </c>
      <c r="E71" s="11">
        <f t="shared" ref="E71:E75" si="16">B71+D71</f>
        <v>4.8393684418434509E-2</v>
      </c>
      <c r="F71" s="3" t="s">
        <v>49</v>
      </c>
    </row>
    <row r="72" spans="1:7" x14ac:dyDescent="0.25">
      <c r="A72" s="6">
        <v>3</v>
      </c>
      <c r="B72" s="3">
        <f t="shared" si="14"/>
        <v>1.3043969500000001</v>
      </c>
      <c r="C72" s="3">
        <f t="shared" si="14"/>
        <v>-1.8371399999999999E-3</v>
      </c>
      <c r="D72" s="3">
        <f t="shared" si="15"/>
        <v>1.031950417473372E-4</v>
      </c>
      <c r="E72" s="11">
        <f t="shared" si="16"/>
        <v>1.3045001450417475</v>
      </c>
      <c r="F72" s="3" t="s">
        <v>50</v>
      </c>
    </row>
    <row r="73" spans="1:7" x14ac:dyDescent="0.25">
      <c r="A73" s="6">
        <v>4</v>
      </c>
      <c r="B73" s="3">
        <f t="shared" si="14"/>
        <v>34.396440509999998</v>
      </c>
      <c r="C73" s="3">
        <f t="shared" si="14"/>
        <v>3034.7461277500001</v>
      </c>
      <c r="D73" s="3">
        <f t="shared" si="15"/>
        <v>-170.46646055593541</v>
      </c>
      <c r="E73" s="11">
        <f t="shared" si="16"/>
        <v>-136.07002004593542</v>
      </c>
      <c r="F73" s="3" t="s">
        <v>51</v>
      </c>
    </row>
    <row r="74" spans="1:7" x14ac:dyDescent="0.25">
      <c r="A74" s="6">
        <v>5</v>
      </c>
      <c r="B74" s="3">
        <f t="shared" si="14"/>
        <v>14.728479829999999</v>
      </c>
      <c r="C74" s="3">
        <f t="shared" si="14"/>
        <v>0.21252668</v>
      </c>
      <c r="D74" s="3">
        <f t="shared" si="15"/>
        <v>-1.1937957703290427E-2</v>
      </c>
      <c r="E74" s="11">
        <f t="shared" si="16"/>
        <v>14.716541872296709</v>
      </c>
      <c r="F74" s="3" t="s">
        <v>52</v>
      </c>
    </row>
    <row r="75" spans="1:7" x14ac:dyDescent="0.25">
      <c r="A75" s="6">
        <v>6</v>
      </c>
      <c r="B75" s="3">
        <f t="shared" si="14"/>
        <v>100.47390909000001</v>
      </c>
      <c r="C75" s="3">
        <f t="shared" si="14"/>
        <v>0.20469106000000001</v>
      </c>
      <c r="D75" s="3">
        <f t="shared" si="15"/>
        <v>-1.1497818610452499E-2</v>
      </c>
      <c r="E75" s="11">
        <f t="shared" si="16"/>
        <v>100.46241127138956</v>
      </c>
      <c r="F75" s="3" t="s">
        <v>53</v>
      </c>
    </row>
  </sheetData>
  <hyperlinks>
    <hyperlink ref="B1" location="WS_Navigation!B2" tooltip="go to navigation sheet" display="Navigate to Worksheet TOC (table of contents)" xr:uid="{062F2970-9BF3-4B98-9F8D-C947A9CD91A8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E95C5-456A-4603-8289-9B59C1D1ADED}">
  <dimension ref="A1:M69"/>
  <sheetViews>
    <sheetView tabSelected="1" topLeftCell="A29" zoomScale="80" zoomScaleNormal="80" workbookViewId="0">
      <selection activeCell="E41" sqref="E41"/>
    </sheetView>
  </sheetViews>
  <sheetFormatPr defaultRowHeight="15" x14ac:dyDescent="0.25"/>
  <cols>
    <col min="1" max="1" width="6.7109375" style="1" customWidth="1"/>
    <col min="2" max="2" width="5.7109375" style="1" customWidth="1"/>
    <col min="3" max="3" width="39.7109375" style="1" customWidth="1"/>
    <col min="4" max="4" width="18.85546875" style="1" bestFit="1" customWidth="1"/>
    <col min="5" max="5" width="20.85546875" style="1" customWidth="1"/>
    <col min="6" max="6" width="16.7109375" style="1" customWidth="1"/>
    <col min="7" max="7" width="11.7109375" style="1" customWidth="1"/>
    <col min="8" max="8" width="12.28515625" style="2" bestFit="1" customWidth="1"/>
    <col min="9" max="9" width="18.7109375" style="1" customWidth="1"/>
    <col min="10" max="10" width="16.7109375" style="1" customWidth="1"/>
    <col min="11" max="11" width="13.7109375" style="1" customWidth="1"/>
    <col min="12" max="12" width="19.7109375" style="1" customWidth="1"/>
    <col min="13" max="13" width="13.7109375" style="1" customWidth="1"/>
    <col min="14" max="16384" width="9.140625" style="1"/>
  </cols>
  <sheetData>
    <row r="1" spans="1:13" x14ac:dyDescent="0.25">
      <c r="A1" s="36" t="s">
        <v>83</v>
      </c>
      <c r="B1" s="37" t="s">
        <v>82</v>
      </c>
    </row>
    <row r="2" spans="1:13" ht="15.75" thickBot="1" x14ac:dyDescent="0.3">
      <c r="A2" s="36" t="s">
        <v>84</v>
      </c>
      <c r="B2" s="38" t="s">
        <v>105</v>
      </c>
    </row>
    <row r="3" spans="1:13" x14ac:dyDescent="0.25">
      <c r="A3" s="3" t="s">
        <v>85</v>
      </c>
      <c r="B3" s="24" t="str">
        <f>HYPERLINK("[OrbitTools(jb1).xlsm]File_Navigation!A1","Orbit Tools")</f>
        <v>Orbit Tools</v>
      </c>
      <c r="I3" s="39" t="s">
        <v>106</v>
      </c>
      <c r="J3" s="40"/>
    </row>
    <row r="4" spans="1:13" x14ac:dyDescent="0.25">
      <c r="C4" s="36"/>
      <c r="I4" s="41" t="s">
        <v>107</v>
      </c>
      <c r="J4" s="42"/>
    </row>
    <row r="5" spans="1:13" x14ac:dyDescent="0.25">
      <c r="C5" s="36" t="s">
        <v>108</v>
      </c>
      <c r="I5" s="43" t="s">
        <v>109</v>
      </c>
      <c r="J5" s="44"/>
    </row>
    <row r="6" spans="1:13" x14ac:dyDescent="0.25">
      <c r="C6" s="36" t="s">
        <v>110</v>
      </c>
      <c r="I6" s="45" t="s">
        <v>111</v>
      </c>
      <c r="J6" s="46"/>
    </row>
    <row r="7" spans="1:13" ht="15.75" thickBot="1" x14ac:dyDescent="0.3">
      <c r="I7" s="47" t="s">
        <v>112</v>
      </c>
      <c r="J7" s="48"/>
    </row>
    <row r="8" spans="1:13" ht="15.75" thickBot="1" x14ac:dyDescent="0.3">
      <c r="C8" s="49"/>
    </row>
    <row r="9" spans="1:13" ht="15.75" thickBot="1" x14ac:dyDescent="0.3">
      <c r="B9" s="50"/>
      <c r="C9" s="50"/>
      <c r="D9" s="39" t="s">
        <v>113</v>
      </c>
      <c r="E9" s="51"/>
      <c r="F9" s="40"/>
      <c r="H9" s="52" t="s">
        <v>114</v>
      </c>
      <c r="I9" s="53"/>
      <c r="J9" s="53"/>
      <c r="K9" s="54"/>
      <c r="L9" s="55" t="s">
        <v>115</v>
      </c>
      <c r="M9" s="56"/>
    </row>
    <row r="10" spans="1:13" x14ac:dyDescent="0.25">
      <c r="B10" s="2"/>
      <c r="C10" s="57" t="s">
        <v>116</v>
      </c>
      <c r="D10" s="58" t="s">
        <v>117</v>
      </c>
      <c r="E10" s="59" t="s">
        <v>118</v>
      </c>
      <c r="F10" s="59" t="s">
        <v>15</v>
      </c>
      <c r="G10" s="60" t="s">
        <v>119</v>
      </c>
      <c r="H10" s="61" t="s">
        <v>120</v>
      </c>
      <c r="I10" s="62" t="s">
        <v>121</v>
      </c>
      <c r="J10" s="62" t="s">
        <v>119</v>
      </c>
      <c r="K10" s="62" t="s">
        <v>122</v>
      </c>
      <c r="L10" s="63" t="s">
        <v>123</v>
      </c>
      <c r="M10" s="61" t="s">
        <v>124</v>
      </c>
    </row>
    <row r="11" spans="1:13" x14ac:dyDescent="0.25">
      <c r="C11" s="64" t="s">
        <v>125</v>
      </c>
      <c r="D11" s="65">
        <v>0</v>
      </c>
      <c r="E11" s="65">
        <v>0</v>
      </c>
      <c r="F11" s="65">
        <v>10000</v>
      </c>
      <c r="G11" s="61" t="s">
        <v>126</v>
      </c>
      <c r="H11" s="66" t="s">
        <v>234</v>
      </c>
      <c r="I11" s="67">
        <f>IF(K11="","",INDEX([2]SolarSysData!$N$10:$N$20,K11))</f>
        <v>398600.4</v>
      </c>
      <c r="J11" s="67" t="s">
        <v>128</v>
      </c>
      <c r="K11" s="68">
        <f>IF(H11="","",MATCH(H11,[2]SolarSysData!$B$10:$B$20,0))</f>
        <v>4</v>
      </c>
      <c r="L11" s="69" t="s">
        <v>129</v>
      </c>
      <c r="M11" s="70" t="s">
        <v>130</v>
      </c>
    </row>
    <row r="12" spans="1:13" x14ac:dyDescent="0.25">
      <c r="C12" s="71" t="s">
        <v>131</v>
      </c>
      <c r="D12" s="72">
        <v>6</v>
      </c>
      <c r="E12" s="72">
        <v>0</v>
      </c>
      <c r="F12" s="73">
        <v>0</v>
      </c>
      <c r="G12" s="61" t="s">
        <v>132</v>
      </c>
      <c r="H12" s="66" t="s">
        <v>234</v>
      </c>
      <c r="I12" s="74">
        <f>IF(K12="","",INDEX([2]SolarSysData!$N$10:$N$20,K12))</f>
        <v>398600.4</v>
      </c>
      <c r="J12" s="74" t="s">
        <v>128</v>
      </c>
      <c r="K12" s="61">
        <f>IF(H12="","",MATCH(H12,[2]SolarSysData!$B$10:$B$20,0))</f>
        <v>4</v>
      </c>
      <c r="L12" s="75" t="s">
        <v>133</v>
      </c>
      <c r="M12" s="70" t="s">
        <v>134</v>
      </c>
    </row>
    <row r="13" spans="1:13" ht="15.75" thickBot="1" x14ac:dyDescent="0.3">
      <c r="D13" s="2"/>
      <c r="E13" s="2"/>
      <c r="F13" s="2"/>
      <c r="I13" s="36"/>
      <c r="J13" s="76"/>
      <c r="K13" s="36"/>
      <c r="L13" s="36"/>
      <c r="M13" s="36"/>
    </row>
    <row r="14" spans="1:13" ht="15.75" thickBot="1" x14ac:dyDescent="0.3">
      <c r="C14" s="77" t="s">
        <v>135</v>
      </c>
      <c r="D14" s="78"/>
      <c r="E14" s="79"/>
      <c r="I14" s="36"/>
      <c r="J14" s="36"/>
      <c r="K14" s="36"/>
      <c r="L14" s="36"/>
      <c r="M14" s="36"/>
    </row>
    <row r="15" spans="1:13" ht="15.75" thickBot="1" x14ac:dyDescent="0.3">
      <c r="C15" s="80" t="s">
        <v>136</v>
      </c>
      <c r="D15" s="81" t="s">
        <v>137</v>
      </c>
      <c r="E15" s="82" t="s">
        <v>119</v>
      </c>
      <c r="I15" s="36"/>
      <c r="J15" s="2"/>
      <c r="K15" s="2"/>
      <c r="L15" s="36"/>
    </row>
    <row r="16" spans="1:13" x14ac:dyDescent="0.25">
      <c r="B16" s="83">
        <v>1</v>
      </c>
      <c r="C16" s="84" t="s">
        <v>138</v>
      </c>
      <c r="D16" s="85">
        <f>D48</f>
        <v>9117.1013410771411</v>
      </c>
      <c r="E16" s="86" t="s">
        <v>126</v>
      </c>
      <c r="I16" s="87" t="s">
        <v>139</v>
      </c>
      <c r="J16" s="88">
        <v>6378.1450000000004</v>
      </c>
      <c r="K16" s="89" t="s">
        <v>126</v>
      </c>
    </row>
    <row r="17" spans="2:13" x14ac:dyDescent="0.25">
      <c r="B17" s="90">
        <v>2</v>
      </c>
      <c r="C17" s="91" t="s">
        <v>140</v>
      </c>
      <c r="D17" s="92">
        <f>D44</f>
        <v>9.6839842609289947E-2</v>
      </c>
      <c r="E17" s="93"/>
      <c r="I17" s="94" t="s">
        <v>141</v>
      </c>
      <c r="J17" s="74">
        <v>6378.1450000000004</v>
      </c>
      <c r="K17" s="95" t="s">
        <v>126</v>
      </c>
    </row>
    <row r="18" spans="2:13" ht="15.75" thickBot="1" x14ac:dyDescent="0.3">
      <c r="B18" s="90">
        <v>3</v>
      </c>
      <c r="C18" s="91" t="s">
        <v>142</v>
      </c>
      <c r="D18" s="96">
        <f>D41</f>
        <v>90</v>
      </c>
      <c r="E18" s="97" t="s">
        <v>143</v>
      </c>
      <c r="F18" s="1">
        <f>RADIANS(D18)</f>
        <v>1.5707963267948966</v>
      </c>
      <c r="G18" s="36" t="s">
        <v>144</v>
      </c>
      <c r="I18" s="98" t="s">
        <v>145</v>
      </c>
      <c r="J18" s="99">
        <v>3397</v>
      </c>
      <c r="K18" s="100" t="s">
        <v>126</v>
      </c>
    </row>
    <row r="19" spans="2:13" x14ac:dyDescent="0.25">
      <c r="B19" s="90">
        <v>4</v>
      </c>
      <c r="C19" s="91" t="s">
        <v>146</v>
      </c>
      <c r="D19" s="101">
        <f>D56</f>
        <v>180</v>
      </c>
      <c r="E19" s="97" t="s">
        <v>143</v>
      </c>
      <c r="F19" s="1">
        <f t="shared" ref="F19:F21" si="0">RADIANS(D19)</f>
        <v>3.1415926535897931</v>
      </c>
      <c r="G19" s="36" t="s">
        <v>144</v>
      </c>
    </row>
    <row r="20" spans="2:13" x14ac:dyDescent="0.25">
      <c r="B20" s="90">
        <v>5</v>
      </c>
      <c r="C20" s="91" t="s">
        <v>147</v>
      </c>
      <c r="D20" s="101">
        <f>D59</f>
        <v>270</v>
      </c>
      <c r="E20" s="93" t="s">
        <v>143</v>
      </c>
      <c r="F20" s="1">
        <f t="shared" si="0"/>
        <v>4.7123889803846897</v>
      </c>
      <c r="G20" s="36" t="s">
        <v>144</v>
      </c>
    </row>
    <row r="21" spans="2:13" ht="15.75" thickBot="1" x14ac:dyDescent="0.3">
      <c r="B21" s="102">
        <v>6</v>
      </c>
      <c r="C21" s="103" t="s">
        <v>148</v>
      </c>
      <c r="D21" s="104" t="str">
        <f>D62</f>
        <v>undefined</v>
      </c>
      <c r="E21" s="105" t="s">
        <v>143</v>
      </c>
      <c r="F21" s="1" t="e">
        <f t="shared" si="0"/>
        <v>#VALUE!</v>
      </c>
      <c r="G21" s="36" t="s">
        <v>144</v>
      </c>
    </row>
    <row r="22" spans="2:13" x14ac:dyDescent="0.25">
      <c r="C22" s="84" t="s">
        <v>149</v>
      </c>
      <c r="D22" s="106">
        <f>(D39^2)/I11</f>
        <v>9031.6015739071008</v>
      </c>
      <c r="E22" s="86" t="s">
        <v>126</v>
      </c>
      <c r="I22" s="36"/>
      <c r="J22" s="49"/>
      <c r="K22" s="49"/>
      <c r="L22" s="49"/>
      <c r="M22" s="49"/>
    </row>
    <row r="23" spans="2:13" x14ac:dyDescent="0.25">
      <c r="C23" s="91" t="s">
        <v>150</v>
      </c>
      <c r="D23" s="107">
        <f>D22/(1+D17)</f>
        <v>8234.2026821542859</v>
      </c>
      <c r="E23" s="97" t="s">
        <v>126</v>
      </c>
      <c r="I23" s="36"/>
      <c r="J23" s="50"/>
      <c r="K23" s="108"/>
      <c r="L23" s="108"/>
      <c r="M23" s="108"/>
    </row>
    <row r="24" spans="2:13" x14ac:dyDescent="0.25">
      <c r="C24" s="91" t="s">
        <v>151</v>
      </c>
      <c r="D24" s="107">
        <f>D22/(1-D17)</f>
        <v>10000</v>
      </c>
      <c r="E24" s="97" t="s">
        <v>126</v>
      </c>
      <c r="J24" s="50"/>
      <c r="K24" s="108"/>
      <c r="L24" s="108"/>
      <c r="M24" s="108"/>
    </row>
    <row r="25" spans="2:13" x14ac:dyDescent="0.25">
      <c r="C25" s="91" t="s">
        <v>152</v>
      </c>
      <c r="D25" s="109" t="str">
        <f>D36</f>
        <v>ellipse</v>
      </c>
      <c r="E25" s="95"/>
      <c r="I25" s="36"/>
      <c r="J25" s="50"/>
      <c r="K25" s="108"/>
      <c r="L25" s="108"/>
      <c r="M25" s="108"/>
    </row>
    <row r="26" spans="2:13" ht="15.75" thickBot="1" x14ac:dyDescent="0.3">
      <c r="C26" s="103" t="s">
        <v>153</v>
      </c>
      <c r="D26" s="110" t="str">
        <f>IF(OR(D23&lt;=J16,D24&lt;=J16),"YES","No")</f>
        <v>No</v>
      </c>
      <c r="E26" s="100"/>
      <c r="J26" s="50"/>
      <c r="K26" s="108"/>
      <c r="L26" s="108"/>
      <c r="M26" s="108"/>
    </row>
    <row r="27" spans="2:13" x14ac:dyDescent="0.25">
      <c r="B27" s="208" t="s">
        <v>154</v>
      </c>
      <c r="C27" s="111" t="s">
        <v>155</v>
      </c>
      <c r="D27" s="112">
        <f>D65</f>
        <v>90</v>
      </c>
      <c r="E27" s="113" t="s">
        <v>143</v>
      </c>
      <c r="F27" s="114" t="s">
        <v>156</v>
      </c>
      <c r="J27" s="50"/>
      <c r="K27" s="108"/>
      <c r="L27" s="108"/>
      <c r="M27" s="108"/>
    </row>
    <row r="28" spans="2:13" x14ac:dyDescent="0.25">
      <c r="B28" s="209"/>
      <c r="C28" s="115" t="s">
        <v>157</v>
      </c>
      <c r="D28" s="116">
        <f>D67</f>
        <v>90</v>
      </c>
      <c r="E28" s="117" t="s">
        <v>143</v>
      </c>
      <c r="F28" s="114"/>
      <c r="J28" s="50"/>
      <c r="K28" s="108"/>
      <c r="L28" s="108"/>
      <c r="M28" s="108"/>
    </row>
    <row r="29" spans="2:13" ht="15.75" thickBot="1" x14ac:dyDescent="0.3">
      <c r="B29" s="210"/>
      <c r="C29" s="118" t="s">
        <v>158</v>
      </c>
      <c r="D29" s="119">
        <f>D69</f>
        <v>90</v>
      </c>
      <c r="E29" s="120" t="s">
        <v>143</v>
      </c>
      <c r="F29" s="121" t="s">
        <v>159</v>
      </c>
      <c r="J29" s="50"/>
      <c r="K29" s="108"/>
      <c r="L29" s="108"/>
      <c r="M29" s="108"/>
    </row>
    <row r="30" spans="2:13" ht="15.75" thickBot="1" x14ac:dyDescent="0.3">
      <c r="J30" s="50"/>
      <c r="K30" s="108"/>
      <c r="L30" s="108"/>
      <c r="M30" s="108"/>
    </row>
    <row r="31" spans="2:13" x14ac:dyDescent="0.25">
      <c r="B31" s="200" t="s">
        <v>160</v>
      </c>
      <c r="C31" s="122" t="s">
        <v>161</v>
      </c>
      <c r="D31" s="123">
        <f>SQRT( (D11*D11) + (E11*E11) + (F11*F11) )</f>
        <v>10000</v>
      </c>
      <c r="E31" s="124" t="s">
        <v>126</v>
      </c>
      <c r="J31" s="50"/>
      <c r="K31" s="108"/>
      <c r="L31" s="108"/>
      <c r="M31" s="108"/>
    </row>
    <row r="32" spans="2:13" x14ac:dyDescent="0.25">
      <c r="B32" s="202"/>
      <c r="C32" s="94" t="s">
        <v>162</v>
      </c>
      <c r="D32" s="125">
        <f>SQRT( (D12*D12) + (E12*E12) + (F12*F12) )</f>
        <v>6</v>
      </c>
      <c r="E32" s="95" t="s">
        <v>132</v>
      </c>
      <c r="J32" s="50"/>
      <c r="K32" s="108"/>
      <c r="L32" s="108"/>
      <c r="M32" s="108"/>
    </row>
    <row r="33" spans="2:13" x14ac:dyDescent="0.25">
      <c r="B33" s="202"/>
      <c r="C33" s="94" t="s">
        <v>163</v>
      </c>
      <c r="D33" s="125">
        <f>D32^2</f>
        <v>36</v>
      </c>
      <c r="E33" s="95" t="s">
        <v>164</v>
      </c>
      <c r="J33" s="50"/>
      <c r="K33" s="108"/>
      <c r="L33" s="108"/>
      <c r="M33" s="108"/>
    </row>
    <row r="34" spans="2:13" x14ac:dyDescent="0.25">
      <c r="B34" s="202"/>
      <c r="C34" s="94" t="s">
        <v>165</v>
      </c>
      <c r="D34" s="126">
        <f>I11/D31</f>
        <v>39.860040000000005</v>
      </c>
      <c r="E34" s="95" t="s">
        <v>164</v>
      </c>
      <c r="J34" s="50"/>
      <c r="K34" s="108"/>
      <c r="L34" s="108"/>
      <c r="M34" s="108"/>
    </row>
    <row r="35" spans="2:13" x14ac:dyDescent="0.25">
      <c r="B35" s="202"/>
      <c r="C35" s="127" t="s">
        <v>166</v>
      </c>
      <c r="D35" s="128">
        <f>(D33/2)-D34</f>
        <v>-21.860040000000005</v>
      </c>
      <c r="E35" s="129" t="s">
        <v>164</v>
      </c>
      <c r="J35" s="50"/>
      <c r="K35" s="108"/>
      <c r="L35" s="108"/>
      <c r="M35" s="108"/>
    </row>
    <row r="36" spans="2:13" ht="15.75" thickBot="1" x14ac:dyDescent="0.3">
      <c r="B36" s="202"/>
      <c r="C36" s="98" t="s">
        <v>152</v>
      </c>
      <c r="D36" s="130" t="str">
        <f>IF(ABS(D35)&lt;(10^-7),"~ parabolic",IF(D44&lt;10^-7,"circular",IF(D35&lt;0,"ellipse","hyperbolic")))</f>
        <v>ellipse</v>
      </c>
      <c r="E36" s="131" t="s">
        <v>167</v>
      </c>
      <c r="J36" s="50"/>
      <c r="K36" s="108"/>
      <c r="L36" s="108"/>
      <c r="M36" s="108"/>
    </row>
    <row r="37" spans="2:13" ht="15.75" thickBot="1" x14ac:dyDescent="0.3">
      <c r="B37" s="200" t="s">
        <v>168</v>
      </c>
      <c r="C37" s="132" t="s">
        <v>169</v>
      </c>
      <c r="D37" s="133" t="s">
        <v>117</v>
      </c>
      <c r="E37" s="133" t="s">
        <v>118</v>
      </c>
      <c r="F37" s="133" t="s">
        <v>15</v>
      </c>
      <c r="G37" s="134" t="s">
        <v>119</v>
      </c>
      <c r="J37" s="50"/>
      <c r="K37" s="108"/>
      <c r="L37" s="108"/>
      <c r="M37" s="108"/>
    </row>
    <row r="38" spans="2:13" x14ac:dyDescent="0.25">
      <c r="B38" s="202"/>
      <c r="C38" s="71" t="s">
        <v>170</v>
      </c>
      <c r="D38" s="135">
        <f>(E11*F12)-(F11*E12)</f>
        <v>0</v>
      </c>
      <c r="E38" s="135">
        <f>(F11*D12)-(D11*F12)</f>
        <v>60000</v>
      </c>
      <c r="F38" s="136">
        <f>(D11*E12)-(E11*D12)</f>
        <v>0</v>
      </c>
      <c r="G38" s="124" t="s">
        <v>171</v>
      </c>
      <c r="J38" s="50"/>
      <c r="K38" s="108"/>
      <c r="L38" s="108"/>
      <c r="M38" s="108"/>
    </row>
    <row r="39" spans="2:13" ht="15.75" thickBot="1" x14ac:dyDescent="0.3">
      <c r="B39" s="203"/>
      <c r="C39" s="137" t="s">
        <v>172</v>
      </c>
      <c r="D39" s="138">
        <f>SQRT( (D38*D38) + (E38*E38) + (F38*F38) )</f>
        <v>60000</v>
      </c>
      <c r="E39" s="139"/>
      <c r="F39" s="139"/>
      <c r="G39" s="100" t="s">
        <v>171</v>
      </c>
      <c r="J39" s="50"/>
      <c r="K39" s="108"/>
      <c r="L39" s="108"/>
      <c r="M39" s="108"/>
    </row>
    <row r="40" spans="2:13" x14ac:dyDescent="0.25">
      <c r="B40" s="200" t="s">
        <v>173</v>
      </c>
      <c r="C40" s="140" t="s">
        <v>174</v>
      </c>
      <c r="D40" s="141"/>
      <c r="E40" s="142"/>
      <c r="F40" s="142"/>
      <c r="G40" s="124"/>
      <c r="J40" s="50"/>
      <c r="K40" s="108"/>
      <c r="L40" s="108"/>
      <c r="M40" s="108"/>
    </row>
    <row r="41" spans="2:13" ht="15.75" thickBot="1" x14ac:dyDescent="0.3">
      <c r="B41" s="203"/>
      <c r="C41" s="143" t="s">
        <v>175</v>
      </c>
      <c r="D41" s="130">
        <f>DEGREES(ACOS(F38/D39))</f>
        <v>90</v>
      </c>
      <c r="E41" s="130" t="str">
        <f>IF(OR(D41&lt;0, D41&gt;180),"err","ok")</f>
        <v>ok</v>
      </c>
      <c r="F41" s="144" t="s">
        <v>176</v>
      </c>
      <c r="G41" s="100"/>
      <c r="J41" s="50"/>
      <c r="K41" s="108"/>
      <c r="L41" s="108"/>
      <c r="M41" s="108"/>
    </row>
    <row r="42" spans="2:13" ht="15.75" thickBot="1" x14ac:dyDescent="0.3">
      <c r="B42" s="200" t="s">
        <v>177</v>
      </c>
      <c r="C42" s="132" t="s">
        <v>178</v>
      </c>
      <c r="D42" s="133" t="s">
        <v>117</v>
      </c>
      <c r="E42" s="133" t="s">
        <v>118</v>
      </c>
      <c r="F42" s="133" t="s">
        <v>15</v>
      </c>
      <c r="G42" s="134" t="s">
        <v>119</v>
      </c>
      <c r="J42" s="50"/>
      <c r="K42" s="108"/>
      <c r="L42" s="108"/>
      <c r="M42" s="108"/>
    </row>
    <row r="43" spans="2:13" x14ac:dyDescent="0.25">
      <c r="B43" s="202"/>
      <c r="C43" s="71" t="s">
        <v>179</v>
      </c>
      <c r="D43" s="135">
        <f>D45*D11-D46*D12</f>
        <v>0</v>
      </c>
      <c r="E43" s="135">
        <f>D45*E11-D46*E12</f>
        <v>0</v>
      </c>
      <c r="F43" s="135">
        <f>D45*F11-D46*F12</f>
        <v>-9.6839842609289947E-2</v>
      </c>
      <c r="G43" s="124"/>
      <c r="K43" s="145"/>
    </row>
    <row r="44" spans="2:13" x14ac:dyDescent="0.25">
      <c r="B44" s="202"/>
      <c r="C44" s="94" t="s">
        <v>180</v>
      </c>
      <c r="D44" s="125">
        <f>SQRT( (D43*D43) + (E43*E43) + (F43*F43) )</f>
        <v>9.6839842609289947E-2</v>
      </c>
      <c r="E44" s="146"/>
      <c r="F44" s="146"/>
      <c r="G44" s="95"/>
      <c r="K44" s="145"/>
    </row>
    <row r="45" spans="2:13" x14ac:dyDescent="0.25">
      <c r="B45" s="202"/>
      <c r="C45" s="71" t="s">
        <v>181</v>
      </c>
      <c r="D45" s="125">
        <f>((D32^2)/I11)-(1/D31)</f>
        <v>-9.6839842609289944E-6</v>
      </c>
      <c r="E45" s="146"/>
      <c r="F45" s="146"/>
      <c r="G45" s="95"/>
      <c r="K45" s="145"/>
    </row>
    <row r="46" spans="2:13" ht="15.75" thickBot="1" x14ac:dyDescent="0.3">
      <c r="B46" s="203"/>
      <c r="C46" s="143" t="s">
        <v>182</v>
      </c>
      <c r="D46" s="147">
        <f>(D11*D12+E11*E12+F11*F12)/I11</f>
        <v>0</v>
      </c>
      <c r="E46" s="139"/>
      <c r="F46" s="139"/>
      <c r="G46" s="100"/>
      <c r="K46" s="145"/>
    </row>
    <row r="47" spans="2:13" x14ac:dyDescent="0.25">
      <c r="B47" s="200" t="s">
        <v>183</v>
      </c>
      <c r="C47" s="148" t="s">
        <v>184</v>
      </c>
      <c r="D47" s="149"/>
      <c r="E47" s="150"/>
      <c r="F47" s="150"/>
      <c r="G47" s="151"/>
      <c r="K47" s="145"/>
    </row>
    <row r="48" spans="2:13" x14ac:dyDescent="0.25">
      <c r="B48" s="202"/>
      <c r="C48" s="71" t="s">
        <v>185</v>
      </c>
      <c r="D48" s="126">
        <f>IF(D44=1,"undefined",(-I11/(2*D35)))</f>
        <v>9117.1013410771411</v>
      </c>
      <c r="E48" s="152" t="s">
        <v>186</v>
      </c>
      <c r="G48" s="153"/>
      <c r="K48" s="145"/>
    </row>
    <row r="49" spans="2:11" ht="15.75" thickBot="1" x14ac:dyDescent="0.3">
      <c r="B49" s="203"/>
      <c r="C49" s="154"/>
      <c r="D49" s="155"/>
      <c r="E49" s="156"/>
      <c r="F49" s="156"/>
      <c r="G49" s="157"/>
      <c r="K49" s="145"/>
    </row>
    <row r="50" spans="2:11" ht="15.75" thickBot="1" x14ac:dyDescent="0.3">
      <c r="B50" s="200" t="s">
        <v>187</v>
      </c>
      <c r="C50" s="132" t="s">
        <v>188</v>
      </c>
      <c r="D50" s="133" t="s">
        <v>117</v>
      </c>
      <c r="E50" s="133" t="s">
        <v>118</v>
      </c>
      <c r="F50" s="133" t="s">
        <v>15</v>
      </c>
      <c r="G50" s="134" t="s">
        <v>119</v>
      </c>
      <c r="K50" s="145"/>
    </row>
    <row r="51" spans="2:11" x14ac:dyDescent="0.25">
      <c r="B51" s="201"/>
      <c r="C51" s="158" t="s">
        <v>189</v>
      </c>
      <c r="D51" s="159">
        <v>0</v>
      </c>
      <c r="E51" s="160">
        <v>0</v>
      </c>
      <c r="F51" s="160">
        <v>1</v>
      </c>
      <c r="G51" s="151"/>
      <c r="K51" s="145"/>
    </row>
    <row r="52" spans="2:11" x14ac:dyDescent="0.25">
      <c r="B52" s="202"/>
      <c r="C52" s="161" t="s">
        <v>190</v>
      </c>
      <c r="D52" s="162">
        <f>(E51*F38)-(F51*E38)</f>
        <v>-60000</v>
      </c>
      <c r="E52" s="135">
        <f>(F51*D38)-(D51*F38)</f>
        <v>0</v>
      </c>
      <c r="F52" s="135">
        <f>(E51*D38)-(D51*E38)</f>
        <v>0</v>
      </c>
      <c r="G52" s="89" t="s">
        <v>171</v>
      </c>
      <c r="I52" s="2"/>
      <c r="J52" s="2"/>
      <c r="K52" s="145"/>
    </row>
    <row r="53" spans="2:11" ht="15.75" thickBot="1" x14ac:dyDescent="0.3">
      <c r="B53" s="202"/>
      <c r="C53" s="163" t="s">
        <v>191</v>
      </c>
      <c r="D53" s="164">
        <f>SQRT( (D52*D52) + (E52*E52) + (F52*F52) )</f>
        <v>60000</v>
      </c>
      <c r="E53" s="139"/>
      <c r="F53" s="139"/>
      <c r="G53" s="100" t="s">
        <v>171</v>
      </c>
      <c r="K53" s="145"/>
    </row>
    <row r="54" spans="2:11" x14ac:dyDescent="0.25">
      <c r="B54" s="202"/>
      <c r="C54" s="140" t="s">
        <v>192</v>
      </c>
      <c r="D54" s="165"/>
      <c r="E54" s="166"/>
      <c r="G54" s="50"/>
      <c r="K54" s="145"/>
    </row>
    <row r="55" spans="2:11" x14ac:dyDescent="0.25">
      <c r="B55" s="202"/>
      <c r="C55" s="71" t="s">
        <v>193</v>
      </c>
      <c r="D55" s="167">
        <f>IF(D53=0,"undefined",(D52/D53))</f>
        <v>-1</v>
      </c>
      <c r="E55" s="168"/>
      <c r="G55" s="50"/>
      <c r="K55" s="145"/>
    </row>
    <row r="56" spans="2:11" ht="15.75" thickBot="1" x14ac:dyDescent="0.3">
      <c r="B56" s="203"/>
      <c r="C56" s="169" t="s">
        <v>194</v>
      </c>
      <c r="D56" s="170">
        <f>IF(D55="undefined", "undefined",IF(E52&gt;=0, DEGREES(ACOS(D55)),360-DEGREES(ACOS(D55))))</f>
        <v>180</v>
      </c>
      <c r="E56" s="171" t="s">
        <v>143</v>
      </c>
      <c r="F56" s="1">
        <f>RADIANS(D56)</f>
        <v>3.1415926535897931</v>
      </c>
      <c r="G56" s="50" t="s">
        <v>195</v>
      </c>
      <c r="K56" s="145"/>
    </row>
    <row r="57" spans="2:11" x14ac:dyDescent="0.25">
      <c r="B57" s="204" t="s">
        <v>196</v>
      </c>
      <c r="C57" s="172" t="s">
        <v>197</v>
      </c>
      <c r="D57" s="173"/>
      <c r="E57" s="166"/>
      <c r="G57" s="50"/>
      <c r="K57" s="145"/>
    </row>
    <row r="58" spans="2:11" x14ac:dyDescent="0.25">
      <c r="B58" s="202"/>
      <c r="C58" s="161" t="s">
        <v>198</v>
      </c>
      <c r="D58" s="167">
        <f>IF(OR(D53=0,D44=0),"undefined",(D52*D43+E52*E43+F52*F43)/(D53*D44))</f>
        <v>0</v>
      </c>
      <c r="E58" s="171"/>
      <c r="G58" s="50"/>
      <c r="K58" s="145"/>
    </row>
    <row r="59" spans="2:11" ht="15.75" thickBot="1" x14ac:dyDescent="0.3">
      <c r="B59" s="203"/>
      <c r="C59" s="169" t="s">
        <v>199</v>
      </c>
      <c r="D59" s="170">
        <f>IF(D58="undefined","undefined",IF(F43&gt;=0,DEGREES(ACOS(D58)),360-DEGREES(ACOS(D58))))</f>
        <v>270</v>
      </c>
      <c r="E59" s="174" t="s">
        <v>143</v>
      </c>
      <c r="F59" s="1">
        <f t="shared" ref="F59:F69" si="1">RADIANS(D59)</f>
        <v>4.7123889803846897</v>
      </c>
      <c r="G59" s="50" t="s">
        <v>195</v>
      </c>
      <c r="K59" s="145"/>
    </row>
    <row r="60" spans="2:11" x14ac:dyDescent="0.25">
      <c r="B60" s="200" t="s">
        <v>200</v>
      </c>
      <c r="C60" s="132" t="s">
        <v>201</v>
      </c>
      <c r="D60" s="165"/>
      <c r="E60" s="166"/>
      <c r="G60" s="50"/>
      <c r="K60" s="145"/>
    </row>
    <row r="61" spans="2:11" x14ac:dyDescent="0.25">
      <c r="B61" s="202"/>
      <c r="C61" s="161" t="s">
        <v>202</v>
      </c>
      <c r="D61" s="167" t="str">
        <f>IF(OR(D43=0,D31=0),"undefined",(D43*D11+E43*E11+F43*F11)/(D44*D31))</f>
        <v>undefined</v>
      </c>
      <c r="E61" s="171"/>
      <c r="G61" s="50"/>
      <c r="K61" s="145"/>
    </row>
    <row r="62" spans="2:11" ht="15.75" thickBot="1" x14ac:dyDescent="0.3">
      <c r="B62" s="203"/>
      <c r="C62" s="169" t="s">
        <v>199</v>
      </c>
      <c r="D62" s="170" t="str">
        <f>IF(D61="undefined","undefined",IF((D11*D12+E11*E12+F11*F12)&gt;=0,DEGREES(ACOS(D61)),360-DEGREES(ACOS(D61))))</f>
        <v>undefined</v>
      </c>
      <c r="E62" s="174" t="s">
        <v>143</v>
      </c>
      <c r="F62" s="1" t="e">
        <f t="shared" si="1"/>
        <v>#VALUE!</v>
      </c>
      <c r="G62" s="50" t="s">
        <v>195</v>
      </c>
      <c r="K62" s="145"/>
    </row>
    <row r="63" spans="2:11" x14ac:dyDescent="0.25">
      <c r="B63" s="205" t="s">
        <v>203</v>
      </c>
      <c r="C63" s="132" t="s">
        <v>204</v>
      </c>
      <c r="D63" s="175"/>
      <c r="E63" s="166"/>
      <c r="G63" s="50"/>
      <c r="K63" s="145"/>
    </row>
    <row r="64" spans="2:11" x14ac:dyDescent="0.25">
      <c r="B64" s="206"/>
      <c r="C64" s="161" t="s">
        <v>205</v>
      </c>
      <c r="D64" s="167">
        <f>IF(OR(D31=0,D53=0),"not calc.",(D52*D11+E52*E11+F52*F11)/(D53*D31))</f>
        <v>0</v>
      </c>
      <c r="E64" s="171"/>
    </row>
    <row r="65" spans="2:7" ht="15.75" thickBot="1" x14ac:dyDescent="0.3">
      <c r="B65" s="206"/>
      <c r="C65" s="169" t="s">
        <v>199</v>
      </c>
      <c r="D65" s="170">
        <f>IF(D64="not calc.","not calc.",IF(F11&gt;0,DEGREES(ACOS(D64)),360-DEGREES(ACOS(D64))))</f>
        <v>90</v>
      </c>
      <c r="E65" s="174" t="s">
        <v>143</v>
      </c>
      <c r="F65" s="1">
        <f t="shared" si="1"/>
        <v>1.5707963267948966</v>
      </c>
      <c r="G65" s="50" t="s">
        <v>195</v>
      </c>
    </row>
    <row r="66" spans="2:7" x14ac:dyDescent="0.25">
      <c r="B66" s="206"/>
      <c r="C66" s="176" t="s">
        <v>206</v>
      </c>
      <c r="D66" s="177"/>
      <c r="E66" s="178"/>
    </row>
    <row r="67" spans="2:7" ht="15.75" thickBot="1" x14ac:dyDescent="0.3">
      <c r="B67" s="206"/>
      <c r="C67" s="179" t="s">
        <v>207</v>
      </c>
      <c r="D67" s="180">
        <f>IF(OR(D56="undefined",D59="undefined"),"undefined",MOD(D56+D59,360))</f>
        <v>90</v>
      </c>
      <c r="E67" s="181" t="s">
        <v>143</v>
      </c>
      <c r="F67" s="1">
        <f t="shared" si="1"/>
        <v>1.5707963267948966</v>
      </c>
      <c r="G67" s="50" t="s">
        <v>195</v>
      </c>
    </row>
    <row r="68" spans="2:7" x14ac:dyDescent="0.25">
      <c r="B68" s="206"/>
      <c r="C68" s="132" t="s">
        <v>208</v>
      </c>
      <c r="D68" s="165"/>
      <c r="E68" s="166"/>
    </row>
    <row r="69" spans="2:7" ht="15.75" thickBot="1" x14ac:dyDescent="0.3">
      <c r="B69" s="207"/>
      <c r="C69" s="163" t="s">
        <v>209</v>
      </c>
      <c r="D69" s="182">
        <f>IF(E11&gt;=0,DEGREES(ACOS(D11/D31)),360-DEGREES(ACOS(D11/D31)))</f>
        <v>90</v>
      </c>
      <c r="E69" s="183" t="s">
        <v>143</v>
      </c>
      <c r="F69" s="1">
        <f t="shared" si="1"/>
        <v>1.5707963267948966</v>
      </c>
      <c r="G69" s="50" t="s">
        <v>195</v>
      </c>
    </row>
  </sheetData>
  <mergeCells count="10">
    <mergeCell ref="B50:B56"/>
    <mergeCell ref="B57:B59"/>
    <mergeCell ref="B60:B62"/>
    <mergeCell ref="B63:B69"/>
    <mergeCell ref="B27:B29"/>
    <mergeCell ref="B31:B36"/>
    <mergeCell ref="B37:B39"/>
    <mergeCell ref="B40:B41"/>
    <mergeCell ref="B42:B46"/>
    <mergeCell ref="B47:B49"/>
  </mergeCells>
  <conditionalFormatting sqref="D26:D29">
    <cfRule type="cellIs" dxfId="0" priority="1" operator="equal">
      <formula>"YES"</formula>
    </cfRule>
  </conditionalFormatting>
  <hyperlinks>
    <hyperlink ref="B1" location="WS_Navigation!B2" tooltip="go to navigation sheet" display="Navigate to Worksheet TOC (table of contents)" xr:uid="{8720C3A0-07C5-471F-95A4-64A821324214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73CA6-E029-47FE-B4B2-E1E9869AAC3A}">
  <dimension ref="A1:S19"/>
  <sheetViews>
    <sheetView zoomScale="80" zoomScaleNormal="80" workbookViewId="0">
      <selection activeCell="D29" sqref="D29"/>
    </sheetView>
  </sheetViews>
  <sheetFormatPr defaultRowHeight="15" x14ac:dyDescent="0.25"/>
  <cols>
    <col min="1" max="1" width="6.7109375" style="1" customWidth="1"/>
    <col min="2" max="2" width="7.85546875" style="1" bestFit="1" customWidth="1"/>
    <col min="3" max="6" width="10.7109375" style="1" customWidth="1"/>
    <col min="7" max="7" width="12" style="1" bestFit="1" customWidth="1"/>
    <col min="8" max="8" width="12.42578125" style="1" bestFit="1" customWidth="1"/>
    <col min="9" max="10" width="11.7109375" style="1" customWidth="1"/>
    <col min="11" max="11" width="17" style="1" bestFit="1" customWidth="1"/>
    <col min="12" max="12" width="13" style="1" bestFit="1" customWidth="1"/>
    <col min="13" max="13" width="9.140625" style="1"/>
    <col min="14" max="14" width="13" style="1" bestFit="1" customWidth="1"/>
    <col min="15" max="15" width="9.28515625" style="1" bestFit="1" customWidth="1"/>
    <col min="16" max="16" width="13" style="1" bestFit="1" customWidth="1"/>
    <col min="17" max="17" width="9.140625" style="1"/>
    <col min="18" max="18" width="13" style="1" bestFit="1" customWidth="1"/>
    <col min="19" max="16384" width="9.140625" style="1"/>
  </cols>
  <sheetData>
    <row r="1" spans="1:19" x14ac:dyDescent="0.25">
      <c r="A1" s="36" t="s">
        <v>83</v>
      </c>
      <c r="B1" s="37" t="s">
        <v>82</v>
      </c>
    </row>
    <row r="2" spans="1:19" x14ac:dyDescent="0.25">
      <c r="A2" s="36" t="s">
        <v>84</v>
      </c>
      <c r="B2" s="38" t="s">
        <v>210</v>
      </c>
    </row>
    <row r="3" spans="1:19" x14ac:dyDescent="0.25">
      <c r="A3" s="3" t="s">
        <v>85</v>
      </c>
      <c r="B3" s="24" t="str">
        <f>HYPERLINK("[OrbitTools(jb1).xlsm]File_Navigation!A1","Orbit Tools")</f>
        <v>Orbit Tools</v>
      </c>
    </row>
    <row r="7" spans="1:19" x14ac:dyDescent="0.25">
      <c r="B7" s="1" t="s">
        <v>211</v>
      </c>
      <c r="L7" s="184" t="s">
        <v>212</v>
      </c>
    </row>
    <row r="8" spans="1:19" ht="15.75" x14ac:dyDescent="0.25">
      <c r="B8" s="185" t="s">
        <v>213</v>
      </c>
      <c r="C8" s="186"/>
      <c r="D8" s="186"/>
      <c r="E8" s="186"/>
      <c r="F8" s="186"/>
      <c r="G8" s="186"/>
      <c r="H8" s="186"/>
      <c r="I8" s="186"/>
      <c r="J8" s="186"/>
      <c r="K8" s="186"/>
      <c r="L8" s="187" t="s">
        <v>213</v>
      </c>
      <c r="M8" s="188"/>
      <c r="N8" s="188"/>
      <c r="O8" s="188"/>
      <c r="P8" s="188"/>
      <c r="Q8" s="188"/>
      <c r="R8" s="188"/>
    </row>
    <row r="9" spans="1:19" ht="45" x14ac:dyDescent="0.25">
      <c r="A9" s="2" t="s">
        <v>90</v>
      </c>
      <c r="B9" s="189" t="s">
        <v>214</v>
      </c>
      <c r="C9" s="189" t="s">
        <v>215</v>
      </c>
      <c r="D9" s="189" t="s">
        <v>216</v>
      </c>
      <c r="E9" s="189" t="s">
        <v>217</v>
      </c>
      <c r="F9" s="189" t="s">
        <v>218</v>
      </c>
      <c r="G9" s="189" t="s">
        <v>219</v>
      </c>
      <c r="H9" s="189" t="s">
        <v>220</v>
      </c>
      <c r="I9" s="189" t="s">
        <v>221</v>
      </c>
      <c r="J9" s="189" t="s">
        <v>222</v>
      </c>
      <c r="K9" s="189" t="s">
        <v>223</v>
      </c>
      <c r="L9" s="190" t="s">
        <v>224</v>
      </c>
      <c r="M9" s="191" t="s">
        <v>225</v>
      </c>
      <c r="N9" s="191" t="s">
        <v>226</v>
      </c>
      <c r="O9" s="191" t="s">
        <v>227</v>
      </c>
      <c r="P9" s="191" t="s">
        <v>228</v>
      </c>
      <c r="Q9" s="191" t="s">
        <v>229</v>
      </c>
      <c r="R9" s="191" t="s">
        <v>230</v>
      </c>
    </row>
    <row r="10" spans="1:19" x14ac:dyDescent="0.25">
      <c r="A10" s="2">
        <v>1</v>
      </c>
      <c r="B10" s="192" t="s">
        <v>127</v>
      </c>
      <c r="C10" s="193">
        <v>695508</v>
      </c>
      <c r="D10" s="193">
        <v>1989100</v>
      </c>
      <c r="E10" s="145"/>
      <c r="F10" s="145"/>
      <c r="G10" s="145"/>
      <c r="H10" s="145"/>
      <c r="I10" s="145"/>
      <c r="J10" s="145"/>
      <c r="K10" s="145"/>
      <c r="L10" s="194"/>
      <c r="M10" s="145"/>
      <c r="N10" s="145">
        <v>132712439935.5</v>
      </c>
      <c r="O10" s="145"/>
      <c r="P10" s="145"/>
      <c r="Q10" s="145"/>
      <c r="R10" s="145"/>
      <c r="S10" s="36" t="s">
        <v>231</v>
      </c>
    </row>
    <row r="11" spans="1:19" x14ac:dyDescent="0.25">
      <c r="A11" s="2">
        <v>2</v>
      </c>
      <c r="B11" s="1" t="s">
        <v>232</v>
      </c>
      <c r="C11" s="195">
        <v>2439.6999999999998</v>
      </c>
      <c r="D11" s="1">
        <v>0.33019999999999999</v>
      </c>
      <c r="E11" s="1">
        <v>3.7</v>
      </c>
      <c r="F11" s="1">
        <v>2.2030000000000001E-2</v>
      </c>
      <c r="G11" s="1">
        <v>57.91</v>
      </c>
      <c r="H11" s="1">
        <v>0.2056</v>
      </c>
      <c r="I11" s="1">
        <v>7</v>
      </c>
      <c r="J11" s="1">
        <v>87.96</v>
      </c>
      <c r="K11" s="195">
        <v>1407.6</v>
      </c>
      <c r="L11" s="196">
        <f>[3]Constants!$D$9</f>
        <v>6.6725899999999997E-11</v>
      </c>
      <c r="M11" s="1">
        <f t="shared" ref="M11:M19" si="0">D11</f>
        <v>0.33019999999999999</v>
      </c>
      <c r="N11" s="1">
        <v>22032.1</v>
      </c>
      <c r="O11" s="197"/>
      <c r="P11" s="198">
        <f>(91.691*10^6)*10^3</f>
        <v>91691000000</v>
      </c>
      <c r="Q11" s="1">
        <f t="shared" ref="Q11:Q18" si="1">N11/((O11+P11)^2)</f>
        <v>2.6206104928724341E-18</v>
      </c>
      <c r="R11" s="199">
        <f t="shared" ref="R11:R18" si="2">Q11/$E$12</f>
        <v>2.9544650426972203E-19</v>
      </c>
    </row>
    <row r="12" spans="1:19" x14ac:dyDescent="0.25">
      <c r="A12" s="2">
        <v>3</v>
      </c>
      <c r="B12" s="1" t="s">
        <v>233</v>
      </c>
      <c r="C12" s="195">
        <v>6051.8</v>
      </c>
      <c r="D12" s="1">
        <v>4.8685</v>
      </c>
      <c r="E12" s="1">
        <v>8.8699999999999992</v>
      </c>
      <c r="F12" s="1">
        <v>0.32490000000000002</v>
      </c>
      <c r="G12" s="1">
        <v>108.21</v>
      </c>
      <c r="H12" s="1">
        <v>6.7000000000000002E-3</v>
      </c>
      <c r="I12" s="1">
        <v>3.39</v>
      </c>
      <c r="J12" s="1">
        <v>224.70099999999999</v>
      </c>
      <c r="K12" s="195">
        <v>-5832.5</v>
      </c>
      <c r="L12" s="196">
        <f>[3]Constants!$D$9</f>
        <v>6.6725899999999997E-11</v>
      </c>
      <c r="M12" s="1">
        <f t="shared" si="0"/>
        <v>4.8685</v>
      </c>
      <c r="N12" s="1">
        <v>324858.8</v>
      </c>
      <c r="O12" s="197"/>
      <c r="P12" s="198">
        <f>(41.4*10^6)*10^3</f>
        <v>41400000000</v>
      </c>
      <c r="Q12" s="1">
        <f t="shared" si="1"/>
        <v>1.8953697869261825E-16</v>
      </c>
      <c r="R12" s="199">
        <f t="shared" si="2"/>
        <v>2.1368317778198227E-17</v>
      </c>
    </row>
    <row r="13" spans="1:19" x14ac:dyDescent="0.25">
      <c r="A13" s="2">
        <v>4</v>
      </c>
      <c r="B13" s="1" t="s">
        <v>234</v>
      </c>
      <c r="C13" s="195">
        <v>6378.1</v>
      </c>
      <c r="D13" s="1">
        <v>5.9741999999999997</v>
      </c>
      <c r="E13" s="1">
        <v>9.8000000000000007</v>
      </c>
      <c r="F13" s="1">
        <v>0.39860000000000001</v>
      </c>
      <c r="G13" s="1">
        <v>149.6</v>
      </c>
      <c r="H13" s="1">
        <v>1.67E-2</v>
      </c>
      <c r="I13" s="1">
        <v>0</v>
      </c>
      <c r="J13" s="1">
        <v>365.25599999999997</v>
      </c>
      <c r="K13" s="1">
        <v>23.9345</v>
      </c>
      <c r="L13" s="196">
        <f>[3]Constants!$D$9</f>
        <v>6.6725899999999997E-11</v>
      </c>
      <c r="M13" s="1">
        <f t="shared" si="0"/>
        <v>5.9741999999999997</v>
      </c>
      <c r="N13" s="1">
        <v>398600.4</v>
      </c>
      <c r="O13" s="197">
        <f>500*10^3</f>
        <v>500000</v>
      </c>
      <c r="P13" s="198">
        <f>C13*1000</f>
        <v>6378100</v>
      </c>
      <c r="Q13" s="1">
        <f t="shared" si="1"/>
        <v>8.4255984744732409E-9</v>
      </c>
      <c r="R13" s="1">
        <f t="shared" si="2"/>
        <v>9.4989836239833608E-10</v>
      </c>
    </row>
    <row r="14" spans="1:19" x14ac:dyDescent="0.25">
      <c r="A14" s="2">
        <v>5</v>
      </c>
      <c r="B14" s="1" t="s">
        <v>235</v>
      </c>
      <c r="C14" s="195">
        <v>3397</v>
      </c>
      <c r="D14" s="1">
        <v>0.64185000000000003</v>
      </c>
      <c r="E14" s="1">
        <v>3.71</v>
      </c>
      <c r="F14" s="1">
        <v>4.283E-2</v>
      </c>
      <c r="G14" s="1">
        <v>227.92</v>
      </c>
      <c r="H14" s="1">
        <v>9.35E-2</v>
      </c>
      <c r="I14" s="1">
        <v>1.85</v>
      </c>
      <c r="J14" s="1">
        <v>686.98</v>
      </c>
      <c r="K14" s="1">
        <v>24.622900000000001</v>
      </c>
      <c r="L14" s="196">
        <f>[3]Constants!$D$9</f>
        <v>6.6725899999999997E-11</v>
      </c>
      <c r="M14" s="1">
        <f t="shared" si="0"/>
        <v>0.64185000000000003</v>
      </c>
      <c r="N14" s="1">
        <v>42828.3</v>
      </c>
      <c r="O14" s="197"/>
      <c r="P14" s="198">
        <f>(78.34*10^6)*10^3</f>
        <v>78340000000</v>
      </c>
      <c r="Q14" s="1">
        <f t="shared" si="1"/>
        <v>6.9785260129301605E-18</v>
      </c>
      <c r="R14" s="199">
        <f t="shared" si="2"/>
        <v>7.8675603302482087E-19</v>
      </c>
    </row>
    <row r="15" spans="1:19" x14ac:dyDescent="0.25">
      <c r="A15" s="2">
        <v>6</v>
      </c>
      <c r="B15" s="1" t="s">
        <v>236</v>
      </c>
      <c r="C15" s="197">
        <v>71492</v>
      </c>
      <c r="D15" s="195">
        <v>1898.6</v>
      </c>
      <c r="E15" s="1">
        <v>24.79</v>
      </c>
      <c r="F15" s="1">
        <v>126.68600000000001</v>
      </c>
      <c r="G15" s="1">
        <v>778.57</v>
      </c>
      <c r="H15" s="1">
        <v>4.8899999999999999E-2</v>
      </c>
      <c r="I15" s="1">
        <v>1.304</v>
      </c>
      <c r="J15" s="195">
        <v>4332.59</v>
      </c>
      <c r="K15" s="1">
        <v>9.9250000000000007</v>
      </c>
      <c r="L15" s="196">
        <f>[3]Constants!$D$9</f>
        <v>6.6725899999999997E-11</v>
      </c>
      <c r="M15" s="1">
        <f t="shared" si="0"/>
        <v>1898.6</v>
      </c>
      <c r="N15" s="1">
        <v>12671199.4</v>
      </c>
      <c r="O15" s="197"/>
      <c r="P15" s="198">
        <f>(628.73*10^6)*10^3</f>
        <v>628730000000</v>
      </c>
      <c r="Q15" s="1">
        <f t="shared" si="1"/>
        <v>3.2054525955376368E-17</v>
      </c>
      <c r="R15" s="199">
        <f t="shared" si="2"/>
        <v>3.6138135237177421E-18</v>
      </c>
    </row>
    <row r="16" spans="1:19" x14ac:dyDescent="0.25">
      <c r="A16" s="2">
        <v>7</v>
      </c>
      <c r="B16" s="1" t="s">
        <v>237</v>
      </c>
      <c r="C16" s="197">
        <v>60268</v>
      </c>
      <c r="D16" s="1">
        <v>568.46</v>
      </c>
      <c r="E16" s="1">
        <v>10.44</v>
      </c>
      <c r="F16" s="1">
        <v>37.930999999999997</v>
      </c>
      <c r="G16" s="195">
        <v>1433.53</v>
      </c>
      <c r="H16" s="1">
        <v>5.6500000000000002E-2</v>
      </c>
      <c r="I16" s="1">
        <v>2.4849999999999999</v>
      </c>
      <c r="J16" s="195">
        <v>10759.2</v>
      </c>
      <c r="K16" s="1">
        <v>10.656000000000001</v>
      </c>
      <c r="L16" s="196">
        <f>[3]Constants!$D$9</f>
        <v>6.6725899999999997E-11</v>
      </c>
      <c r="M16" s="1">
        <f t="shared" si="0"/>
        <v>568.46</v>
      </c>
      <c r="N16" s="1">
        <v>37939519.700000003</v>
      </c>
      <c r="O16" s="197"/>
      <c r="P16" s="198">
        <f>(1275*10^6)*10^3</f>
        <v>1275000000000</v>
      </c>
      <c r="Q16" s="1">
        <f t="shared" si="1"/>
        <v>2.3338420422914265E-17</v>
      </c>
      <c r="R16" s="199">
        <f t="shared" si="2"/>
        <v>2.6311635200579784E-18</v>
      </c>
    </row>
    <row r="17" spans="1:18" x14ac:dyDescent="0.25">
      <c r="A17" s="2">
        <v>8</v>
      </c>
      <c r="B17" s="1" t="s">
        <v>238</v>
      </c>
      <c r="C17" s="197">
        <v>25559</v>
      </c>
      <c r="D17" s="1">
        <v>86.831999999999994</v>
      </c>
      <c r="E17" s="1">
        <v>8.8699999999999992</v>
      </c>
      <c r="F17" s="1">
        <v>5.7939999999999996</v>
      </c>
      <c r="G17" s="195">
        <v>2872.46</v>
      </c>
      <c r="H17" s="1">
        <v>4.5699999999999998E-2</v>
      </c>
      <c r="I17" s="1">
        <v>0.77200000000000002</v>
      </c>
      <c r="J17" s="195">
        <v>30685.4</v>
      </c>
      <c r="K17" s="1">
        <v>-17.239999999999998</v>
      </c>
      <c r="L17" s="196">
        <f>[3]Constants!$D$9</f>
        <v>6.6725899999999997E-11</v>
      </c>
      <c r="M17" s="1">
        <f t="shared" si="0"/>
        <v>86.831999999999994</v>
      </c>
      <c r="N17" s="1">
        <v>5780158.5</v>
      </c>
      <c r="O17" s="197"/>
      <c r="P17" s="198">
        <f>(2723.95*10^6)*10^3</f>
        <v>2723950000000</v>
      </c>
      <c r="Q17" s="1">
        <f t="shared" si="1"/>
        <v>7.7900722295805596E-19</v>
      </c>
      <c r="R17" s="199">
        <f t="shared" si="2"/>
        <v>8.7824940581517026E-20</v>
      </c>
    </row>
    <row r="18" spans="1:18" x14ac:dyDescent="0.25">
      <c r="A18" s="2">
        <v>9</v>
      </c>
      <c r="B18" s="1" t="s">
        <v>239</v>
      </c>
      <c r="C18" s="197">
        <v>24764</v>
      </c>
      <c r="D18" s="1">
        <v>102.43</v>
      </c>
      <c r="E18" s="1">
        <v>11.15</v>
      </c>
      <c r="F18" s="1">
        <v>6.835</v>
      </c>
      <c r="G18" s="195">
        <v>4495.0600000000004</v>
      </c>
      <c r="H18" s="1">
        <v>1.1299999999999999E-2</v>
      </c>
      <c r="I18" s="1">
        <v>1.7689999999999999</v>
      </c>
      <c r="J18" s="197">
        <v>60189</v>
      </c>
      <c r="K18" s="1">
        <v>16.11</v>
      </c>
      <c r="L18" s="196">
        <f>[3]Constants!$D$9</f>
        <v>6.6725899999999997E-11</v>
      </c>
      <c r="M18" s="1">
        <f t="shared" si="0"/>
        <v>102.43</v>
      </c>
      <c r="N18" s="1">
        <v>6871307.7999999998</v>
      </c>
      <c r="O18" s="197"/>
      <c r="P18" s="198">
        <f>(4351.4*10^6)*10^3</f>
        <v>4351400000000</v>
      </c>
      <c r="Q18" s="1">
        <f t="shared" si="1"/>
        <v>3.6289533748260538E-19</v>
      </c>
      <c r="R18" s="199">
        <f t="shared" si="2"/>
        <v>4.0912664879662394E-20</v>
      </c>
    </row>
    <row r="19" spans="1:18" x14ac:dyDescent="0.25">
      <c r="A19" s="2">
        <v>10</v>
      </c>
      <c r="B19" s="1" t="s">
        <v>240</v>
      </c>
      <c r="C19" s="197">
        <v>1195</v>
      </c>
      <c r="D19" s="1">
        <v>1.2500000000000001E-2</v>
      </c>
      <c r="E19" s="1">
        <v>0.57999999999999996</v>
      </c>
      <c r="F19" s="1">
        <v>8.3000000000000001E-4</v>
      </c>
      <c r="G19" s="195">
        <v>5869.66</v>
      </c>
      <c r="H19" s="1">
        <v>0.24440000000000001</v>
      </c>
      <c r="I19" s="1">
        <v>17.16</v>
      </c>
      <c r="J19" s="197">
        <v>90465</v>
      </c>
      <c r="K19" s="1">
        <v>-153.29</v>
      </c>
      <c r="L19" s="196">
        <f>[3]Constants!$D$9</f>
        <v>6.6725899999999997E-11</v>
      </c>
      <c r="M19" s="1">
        <f t="shared" si="0"/>
        <v>1.2500000000000001E-2</v>
      </c>
      <c r="N19" s="1">
        <v>1020.9</v>
      </c>
      <c r="O19" s="197"/>
      <c r="P19" s="198"/>
    </row>
  </sheetData>
  <hyperlinks>
    <hyperlink ref="B1" location="WS_Navigation!B2" tooltip="go to navigation sheet" display="Navigate to Worksheet TOC (table of contents)" xr:uid="{80986A0D-92E6-4365-95E9-78D70E37060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HelpNotes</vt:lpstr>
      <vt:lpstr>WS_Navigation</vt:lpstr>
      <vt:lpstr>SOI</vt:lpstr>
      <vt:lpstr>ephem</vt:lpstr>
      <vt:lpstr>rv2coe</vt:lpstr>
      <vt:lpstr>SolarSysData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Belue</dc:creator>
  <cp:lastModifiedBy>Jeff Belue</cp:lastModifiedBy>
  <dcterms:created xsi:type="dcterms:W3CDTF">2024-10-13T21:57:34Z</dcterms:created>
  <dcterms:modified xsi:type="dcterms:W3CDTF">2024-11-06T00:04:22Z</dcterms:modified>
</cp:coreProperties>
</file>