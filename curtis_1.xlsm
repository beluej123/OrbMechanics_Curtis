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elue\Documents\!Data\Python\01-Astro\OrbitalMechanics\"/>
    </mc:Choice>
  </mc:AlternateContent>
  <xr:revisionPtr revIDLastSave="0" documentId="13_ncr:1_{C0CB6809-321E-42DD-80AF-65930D8E24A2}" xr6:coauthVersionLast="47" xr6:coauthVersionMax="47" xr10:uidLastSave="{00000000-0000-0000-0000-000000000000}"/>
  <bookViews>
    <workbookView xWindow="58440" yWindow="495" windowWidth="21600" windowHeight="13830" activeTab="1" xr2:uid="{7D6F5964-9CF5-412D-A246-0ED15EA0E51F}"/>
  </bookViews>
  <sheets>
    <sheet name="SOI" sheetId="1" r:id="rId1"/>
    <sheet name="ephem" sheetId="2" r:id="rId2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51" i="2" l="1"/>
  <c r="E51" i="2" s="1"/>
  <c r="D52" i="2"/>
  <c r="E52" i="2" s="1"/>
  <c r="D53" i="2"/>
  <c r="E53" i="2" s="1"/>
  <c r="D54" i="2"/>
  <c r="E54" i="2" s="1"/>
  <c r="D55" i="2"/>
  <c r="E55" i="2" s="1"/>
  <c r="D50" i="2"/>
  <c r="E50" i="2" s="1"/>
  <c r="D48" i="2"/>
  <c r="E48" i="2"/>
  <c r="C48" i="2"/>
  <c r="C61" i="2"/>
  <c r="D61" i="2" s="1"/>
  <c r="C62" i="2"/>
  <c r="D62" i="2" s="1"/>
  <c r="C63" i="2"/>
  <c r="D63" i="2" s="1"/>
  <c r="C64" i="2"/>
  <c r="D64" i="2" s="1"/>
  <c r="C65" i="2"/>
  <c r="D65" i="2" s="1"/>
  <c r="C66" i="2"/>
  <c r="D66" i="2" s="1"/>
  <c r="B62" i="2"/>
  <c r="B63" i="2"/>
  <c r="B64" i="2"/>
  <c r="B65" i="2"/>
  <c r="B66" i="2"/>
  <c r="B61" i="2"/>
  <c r="D32" i="2"/>
  <c r="E32" i="2" s="1"/>
  <c r="D33" i="2"/>
  <c r="E33" i="2" s="1"/>
  <c r="D15" i="2"/>
  <c r="D16" i="2"/>
  <c r="D17" i="2"/>
  <c r="D18" i="2"/>
  <c r="D19" i="2"/>
  <c r="E14" i="2"/>
  <c r="D14" i="2"/>
  <c r="E16" i="2"/>
  <c r="E17" i="2"/>
  <c r="E18" i="2"/>
  <c r="E19" i="2"/>
  <c r="E15" i="2"/>
  <c r="D37" i="2"/>
  <c r="E37" i="2" s="1"/>
  <c r="H37" i="2" s="1"/>
  <c r="D36" i="2"/>
  <c r="E36" i="2" s="1"/>
  <c r="D35" i="2"/>
  <c r="E35" i="2" s="1"/>
  <c r="D34" i="2"/>
  <c r="E34" i="2" s="1"/>
  <c r="E61" i="2" l="1"/>
  <c r="E66" i="2"/>
  <c r="E65" i="2"/>
  <c r="E64" i="2"/>
  <c r="E63" i="2"/>
  <c r="E62" i="2"/>
  <c r="C15" i="2"/>
  <c r="C16" i="2"/>
  <c r="C17" i="2"/>
  <c r="C18" i="2"/>
  <c r="C19" i="2"/>
  <c r="C14" i="2"/>
  <c r="B15" i="2"/>
  <c r="B16" i="2"/>
  <c r="B17" i="2"/>
  <c r="B18" i="2"/>
  <c r="B19" i="2"/>
  <c r="B14" i="2"/>
  <c r="C15" i="1"/>
  <c r="C9" i="1"/>
  <c r="C25" i="1" s="1"/>
  <c r="C26" i="2" l="1"/>
  <c r="D26" i="2" s="1"/>
  <c r="E26" i="2" s="1"/>
  <c r="H36" i="2" s="1"/>
  <c r="C24" i="2"/>
  <c r="D24" i="2" s="1"/>
  <c r="E24" i="2" s="1"/>
  <c r="C27" i="2"/>
  <c r="D27" i="2" s="1"/>
  <c r="E27" i="2" s="1"/>
  <c r="H35" i="2" s="1"/>
  <c r="C25" i="2"/>
  <c r="D25" i="2" s="1"/>
  <c r="E25" i="2" s="1"/>
  <c r="C23" i="2"/>
  <c r="E23" i="2" s="1"/>
  <c r="H33" i="2" s="1"/>
  <c r="C22" i="2"/>
  <c r="E22" i="2" s="1"/>
  <c r="H32" i="2" s="1"/>
  <c r="C11" i="1"/>
  <c r="H24" i="2" l="1"/>
  <c r="H34" i="2"/>
  <c r="C16" i="1"/>
  <c r="C12" i="1"/>
  <c r="G11" i="1" s="1"/>
  <c r="G12" i="1" s="1"/>
  <c r="C17" i="1" l="1"/>
  <c r="G15" i="1"/>
  <c r="G16" i="1" s="1"/>
  <c r="C18" i="1" s="1"/>
  <c r="C13" i="1"/>
  <c r="C19" i="1" l="1"/>
  <c r="C23" i="1"/>
  <c r="C27" i="1"/>
  <c r="C21" i="1"/>
  <c r="C28" i="1" l="1"/>
  <c r="C22" i="1"/>
  <c r="C26" i="1"/>
  <c r="C35" i="1"/>
  <c r="C36" i="1" s="1"/>
  <c r="C37" i="1" s="1"/>
  <c r="C38" i="1" s="1"/>
  <c r="C24" i="1"/>
  <c r="C30" i="1" l="1"/>
  <c r="C29" i="1"/>
  <c r="C31" i="1" l="1"/>
  <c r="C40" i="1" s="1"/>
  <c r="C41" i="1" s="1"/>
  <c r="C42" i="1" l="1"/>
  <c r="C43" i="1" s="1"/>
</calcChain>
</file>

<file path=xl/sharedStrings.xml><?xml version="1.0" encoding="utf-8"?>
<sst xmlns="http://schemas.openxmlformats.org/spreadsheetml/2006/main" count="148" uniqueCount="81">
  <si>
    <t>[km]</t>
  </si>
  <si>
    <t>r_earth</t>
  </si>
  <si>
    <t>r0_alt</t>
  </si>
  <si>
    <t>mu_earth_km</t>
  </si>
  <si>
    <t>[km^2/s^2]</t>
  </si>
  <si>
    <t>v_mag_esc_earth</t>
  </si>
  <si>
    <t>r0_earth</t>
  </si>
  <si>
    <t>[km/s]</t>
  </si>
  <si>
    <t>[km^2/2]</t>
  </si>
  <si>
    <t>semi-parameter, p</t>
  </si>
  <si>
    <t>ta_soi</t>
  </si>
  <si>
    <t>r_soi_earth</t>
  </si>
  <si>
    <t>r_soi_earth-sp</t>
  </si>
  <si>
    <t>[rad]</t>
  </si>
  <si>
    <t>[deg]</t>
  </si>
  <si>
    <t>k</t>
  </si>
  <si>
    <t>cos(ta)</t>
  </si>
  <si>
    <t>l_</t>
  </si>
  <si>
    <t>m</t>
  </si>
  <si>
    <t>a1</t>
  </si>
  <si>
    <t>a2</t>
  </si>
  <si>
    <t>a, elliptical</t>
  </si>
  <si>
    <t>a, parabolic</t>
  </si>
  <si>
    <t>c</t>
  </si>
  <si>
    <t>s</t>
  </si>
  <si>
    <t>delta_t</t>
  </si>
  <si>
    <t>[sec]</t>
  </si>
  <si>
    <t>[day]</t>
  </si>
  <si>
    <t>a, hyperbolic</t>
  </si>
  <si>
    <t>if a2=0, then parabolic</t>
  </si>
  <si>
    <t>f</t>
  </si>
  <si>
    <t>g</t>
  </si>
  <si>
    <t>a=a1/a2 if a!=0</t>
  </si>
  <si>
    <t>h_mag_esc</t>
  </si>
  <si>
    <t>h_mag=rp * vp</t>
  </si>
  <si>
    <t>assume rp</t>
  </si>
  <si>
    <t>sp_mag_esc</t>
  </si>
  <si>
    <t>energy_esc</t>
  </si>
  <si>
    <t>should be zero since parabolic orbit</t>
  </si>
  <si>
    <t>h_mag_1</t>
  </si>
  <si>
    <t>v_mag_1</t>
  </si>
  <si>
    <t>sp_mag_1</t>
  </si>
  <si>
    <t>energy_1</t>
  </si>
  <si>
    <t>ecc_1</t>
  </si>
  <si>
    <t>escape</t>
  </si>
  <si>
    <t>cosh(delta_H)</t>
  </si>
  <si>
    <t>delta_H</t>
  </si>
  <si>
    <t>The escape parameters are for reference; the _1 variables are the delta-t drivers…</t>
  </si>
  <si>
    <t xml:space="preserve">  # [au] sma</t>
  </si>
  <si>
    <t xml:space="preserve">  # [--] ecc</t>
  </si>
  <si>
    <t xml:space="preserve">  # [deg] incl</t>
  </si>
  <si>
    <t xml:space="preserve">  # [deg] raan</t>
  </si>
  <si>
    <t xml:space="preserve">  # [deg] w_bar</t>
  </si>
  <si>
    <t xml:space="preserve">  # [deg] Lm</t>
  </si>
  <si>
    <t>Vallado [4]</t>
  </si>
  <si>
    <t>Julian Date</t>
  </si>
  <si>
    <t>Calendar Date</t>
  </si>
  <si>
    <t>Summation</t>
  </si>
  <si>
    <t>Modulo</t>
  </si>
  <si>
    <t>t_TDB: julian centuries of barycentric dynamical time</t>
  </si>
  <si>
    <t>Answer:</t>
  </si>
  <si>
    <t>Earth:</t>
  </si>
  <si>
    <t>x0</t>
  </si>
  <si>
    <t>x1 * T</t>
  </si>
  <si>
    <t>x2 * T^2</t>
  </si>
  <si>
    <t>x3 * T^3</t>
  </si>
  <si>
    <t>x1 (rate)</t>
  </si>
  <si>
    <t>includes mod 360</t>
  </si>
  <si>
    <t>Verify Ephemeris Table Elements Calculations</t>
  </si>
  <si>
    <r>
      <t xml:space="preserve">Horizons, Table 1: </t>
    </r>
    <r>
      <rPr>
        <sz val="10"/>
        <color rgb="FFFF0000"/>
        <rFont val="Arial"/>
        <family val="2"/>
      </rPr>
      <t>NOTE element order is different than Vallado above</t>
    </r>
  </si>
  <si>
    <t>long. of periapsis (w)</t>
  </si>
  <si>
    <t>mean long.</t>
  </si>
  <si>
    <t>2024-10-20. I just gave up trying to correlate ephemeris data sets. Just stick with one and be consistant.</t>
  </si>
  <si>
    <t>Delta's Vallado-Horizons Table 1</t>
  </si>
  <si>
    <t>This data block, below,  is from Horizons Web Application. I spent many hours trying to correlate angle names!!</t>
  </si>
  <si>
    <t>why is this inclination 23deg, if the primary frame is ICRF??</t>
  </si>
  <si>
    <t>Develop test cases for finding the angle to soi (sphere of influence)</t>
  </si>
  <si>
    <t>https://ssd.jpl.nasa.gov/horizons/app.html#/</t>
  </si>
  <si>
    <t>Earth: Horizons Table1</t>
  </si>
  <si>
    <t>Jupiter: Horizons T1</t>
  </si>
  <si>
    <t>Cross-check Vallado [4], Curtis [3], Horizons Table 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</si>
</sst>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164" formatCode="#,##0.0000"/>
    <numFmt numFmtId="165" formatCode="#,##0.00000"/>
    <numFmt numFmtId="166" formatCode="0.000000E+00"/>
    <numFmt numFmtId="167" formatCode="#,##0.0000000000"/>
    <numFmt numFmtId="168" formatCode="yyyy\-mm\-dd\ h:mm:ss"/>
    <numFmt numFmtId="169" formatCode="#,##0.000000"/>
    <numFmt numFmtId="170" formatCode="0.000%"/>
    <numFmt numFmtId="171" formatCode="0.000000"/>
    <numFmt numFmtId="172" formatCode="0.00000000"/>
    <numFmt numFmtId="173" formatCode="#,##0.00000000"/>
  </numFmts>
  <fonts count="5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0"/>
      <color rgb="FFFFC000"/>
      <name val="Arial"/>
      <family val="2"/>
    </font>
    <font>
      <sz val="10"/>
      <color rgb="FFFF0000"/>
      <name val="Arial"/>
      <family val="2"/>
    </font>
    <font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5EF927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9" fontId="4" fillId="0" borderId="0" applyFont="0" applyFill="0" applyBorder="0" applyAlignment="0" applyProtection="0"/>
  </cellStyleXfs>
  <cellXfs count="33">
    <xf numFmtId="0" fontId="0" fillId="0" borderId="0" xfId="0"/>
    <xf numFmtId="0" fontId="0" fillId="0" borderId="0" xfId="0" applyAlignment="1">
      <alignment vertical="center"/>
    </xf>
    <xf numFmtId="164" fontId="0" fillId="0" borderId="0" xfId="0" applyNumberFormat="1" applyAlignment="1">
      <alignment vertical="center"/>
    </xf>
    <xf numFmtId="0" fontId="0" fillId="2" borderId="0" xfId="0" applyFill="1" applyAlignment="1">
      <alignment vertical="center"/>
    </xf>
    <xf numFmtId="0" fontId="0" fillId="0" borderId="0" xfId="0" applyAlignment="1">
      <alignment horizontal="center" vertical="center"/>
    </xf>
    <xf numFmtId="165" fontId="0" fillId="0" borderId="0" xfId="0" applyNumberFormat="1" applyAlignment="1">
      <alignment vertical="center"/>
    </xf>
    <xf numFmtId="0" fontId="0" fillId="2" borderId="0" xfId="0" applyFill="1" applyAlignment="1">
      <alignment horizontal="center" vertical="center"/>
    </xf>
    <xf numFmtId="0" fontId="0" fillId="2" borderId="0" xfId="0" applyFill="1" applyAlignment="1">
      <alignment horizontal="right" vertical="center"/>
    </xf>
    <xf numFmtId="164" fontId="0" fillId="3" borderId="0" xfId="0" applyNumberFormat="1" applyFill="1" applyAlignment="1">
      <alignment vertical="center"/>
    </xf>
    <xf numFmtId="166" fontId="0" fillId="0" borderId="0" xfId="0" applyNumberFormat="1" applyAlignment="1">
      <alignment vertical="center"/>
    </xf>
    <xf numFmtId="0" fontId="1" fillId="0" borderId="0" xfId="0" applyFont="1" applyAlignment="1">
      <alignment vertical="center"/>
    </xf>
    <xf numFmtId="167" fontId="1" fillId="0" borderId="0" xfId="0" applyNumberFormat="1" applyFont="1" applyAlignment="1">
      <alignment vertical="center"/>
    </xf>
    <xf numFmtId="168" fontId="1" fillId="0" borderId="0" xfId="0" applyNumberFormat="1" applyFont="1" applyAlignment="1">
      <alignment vertical="center"/>
    </xf>
    <xf numFmtId="0" fontId="1" fillId="0" borderId="0" xfId="0" applyFont="1" applyAlignment="1">
      <alignment horizontal="center" vertical="center"/>
    </xf>
    <xf numFmtId="169" fontId="1" fillId="0" borderId="0" xfId="0" applyNumberFormat="1" applyFont="1" applyAlignment="1">
      <alignment vertical="center"/>
    </xf>
    <xf numFmtId="0" fontId="1" fillId="0" borderId="0" xfId="0" applyFont="1" applyAlignment="1">
      <alignment horizontal="left" vertical="center"/>
    </xf>
    <xf numFmtId="0" fontId="3" fillId="0" borderId="0" xfId="0" applyFont="1" applyAlignment="1">
      <alignment vertical="center"/>
    </xf>
    <xf numFmtId="0" fontId="2" fillId="0" borderId="0" xfId="0" applyFont="1" applyAlignment="1">
      <alignment vertical="center"/>
    </xf>
    <xf numFmtId="0" fontId="1" fillId="4" borderId="0" xfId="0" applyFont="1" applyFill="1" applyAlignment="1">
      <alignment vertical="center"/>
    </xf>
    <xf numFmtId="169" fontId="1" fillId="4" borderId="0" xfId="0" applyNumberFormat="1" applyFont="1" applyFill="1" applyAlignment="1">
      <alignment vertical="center"/>
    </xf>
    <xf numFmtId="0" fontId="1" fillId="2" borderId="0" xfId="0" applyFont="1" applyFill="1" applyAlignment="1">
      <alignment vertical="center"/>
    </xf>
    <xf numFmtId="170" fontId="1" fillId="0" borderId="0" xfId="1" applyNumberFormat="1" applyFont="1" applyAlignment="1">
      <alignment vertical="center"/>
    </xf>
    <xf numFmtId="170" fontId="1" fillId="0" borderId="0" xfId="1" applyNumberFormat="1" applyFont="1" applyFill="1" applyAlignment="1">
      <alignment vertical="center"/>
    </xf>
    <xf numFmtId="0" fontId="3" fillId="2" borderId="0" xfId="0" applyFont="1" applyFill="1" applyAlignment="1">
      <alignment vertical="center"/>
    </xf>
    <xf numFmtId="170" fontId="1" fillId="2" borderId="0" xfId="1" applyNumberFormat="1" applyFont="1" applyFill="1" applyAlignment="1">
      <alignment vertical="center"/>
    </xf>
    <xf numFmtId="173" fontId="1" fillId="2" borderId="0" xfId="0" applyNumberFormat="1" applyFont="1" applyFill="1" applyAlignment="1">
      <alignment vertical="center"/>
    </xf>
    <xf numFmtId="172" fontId="1" fillId="2" borderId="0" xfId="0" applyNumberFormat="1" applyFont="1" applyFill="1" applyAlignment="1">
      <alignment vertical="center"/>
    </xf>
    <xf numFmtId="171" fontId="1" fillId="2" borderId="0" xfId="0" applyNumberFormat="1" applyFont="1" applyFill="1" applyAlignment="1">
      <alignment vertical="center"/>
    </xf>
    <xf numFmtId="0" fontId="2" fillId="2" borderId="0" xfId="0" applyFont="1" applyFill="1" applyAlignment="1">
      <alignment vertical="center"/>
    </xf>
    <xf numFmtId="0" fontId="1" fillId="0" borderId="0" xfId="0" applyFont="1" applyFill="1" applyAlignment="1">
      <alignment horizontal="center" vertical="center"/>
    </xf>
    <xf numFmtId="0" fontId="1" fillId="0" borderId="0" xfId="0" applyFont="1" applyFill="1" applyAlignment="1">
      <alignment vertical="center"/>
    </xf>
    <xf numFmtId="171" fontId="1" fillId="0" borderId="0" xfId="0" applyNumberFormat="1" applyFont="1" applyFill="1" applyAlignment="1">
      <alignment vertical="center"/>
    </xf>
    <xf numFmtId="0" fontId="3" fillId="0" borderId="0" xfId="0" applyFont="1" applyFill="1" applyAlignment="1">
      <alignment vertical="center"/>
    </xf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colors>
    <mruColors>
      <color rgb="FF5EF92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3BBFA7-54D7-41BB-898B-05E327E9CAEC}">
  <sheetPr codeName="Sheet1"/>
  <dimension ref="A1:H43"/>
  <sheetViews>
    <sheetView zoomScaleNormal="100" workbookViewId="0">
      <selection activeCell="B2" sqref="B2"/>
    </sheetView>
  </sheetViews>
  <sheetFormatPr defaultRowHeight="15" x14ac:dyDescent="0.25"/>
  <cols>
    <col min="1" max="1" width="9.140625" style="1"/>
    <col min="2" max="2" width="16.42578125" style="1" bestFit="1" customWidth="1"/>
    <col min="3" max="3" width="12.7109375" style="1" bestFit="1" customWidth="1"/>
    <col min="4" max="4" width="11.7109375" style="1" bestFit="1" customWidth="1"/>
    <col min="5" max="5" width="20.7109375" style="1" bestFit="1" customWidth="1"/>
    <col min="6" max="7" width="11.7109375" style="1" customWidth="1"/>
    <col min="8" max="16384" width="9.140625" style="1"/>
  </cols>
  <sheetData>
    <row r="1" spans="1:8" x14ac:dyDescent="0.25">
      <c r="B1" s="1" t="s">
        <v>76</v>
      </c>
    </row>
    <row r="2" spans="1:8" x14ac:dyDescent="0.25">
      <c r="B2" s="1" t="s">
        <v>47</v>
      </c>
    </row>
    <row r="4" spans="1:8" x14ac:dyDescent="0.25">
      <c r="B4" s="1" t="s">
        <v>3</v>
      </c>
      <c r="C4" s="2">
        <v>398600.44150000002</v>
      </c>
      <c r="D4" s="1" t="s">
        <v>4</v>
      </c>
    </row>
    <row r="5" spans="1:8" x14ac:dyDescent="0.25">
      <c r="B5" s="1" t="s">
        <v>11</v>
      </c>
      <c r="C5" s="2">
        <v>924644.23</v>
      </c>
      <c r="D5" s="1" t="s">
        <v>0</v>
      </c>
    </row>
    <row r="6" spans="1:8" x14ac:dyDescent="0.25">
      <c r="C6" s="2"/>
    </row>
    <row r="7" spans="1:8" x14ac:dyDescent="0.25">
      <c r="B7" s="1" t="s">
        <v>1</v>
      </c>
      <c r="C7" s="2">
        <v>6378.1363000000001</v>
      </c>
      <c r="D7" s="1" t="s">
        <v>0</v>
      </c>
    </row>
    <row r="8" spans="1:8" x14ac:dyDescent="0.25">
      <c r="B8" s="1" t="s">
        <v>2</v>
      </c>
      <c r="C8" s="2">
        <v>180</v>
      </c>
      <c r="D8" s="1" t="s">
        <v>0</v>
      </c>
    </row>
    <row r="9" spans="1:8" x14ac:dyDescent="0.25">
      <c r="B9" s="1" t="s">
        <v>6</v>
      </c>
      <c r="C9" s="2">
        <f>C7+C8</f>
        <v>6558.1363000000001</v>
      </c>
      <c r="D9" s="1" t="s">
        <v>0</v>
      </c>
      <c r="E9" s="1" t="s">
        <v>35</v>
      </c>
    </row>
    <row r="10" spans="1:8" x14ac:dyDescent="0.25">
      <c r="C10" s="2"/>
    </row>
    <row r="11" spans="1:8" x14ac:dyDescent="0.25">
      <c r="A11" s="6" t="s">
        <v>44</v>
      </c>
      <c r="B11" s="7" t="s">
        <v>5</v>
      </c>
      <c r="C11" s="2">
        <f>SQRT(2*C$4/C$9)</f>
        <v>11.025382526270276</v>
      </c>
      <c r="D11" s="1" t="s">
        <v>7</v>
      </c>
      <c r="F11" s="1" t="s">
        <v>37</v>
      </c>
      <c r="G11" s="5">
        <f>(C12^2/(2*C$9^2))-C$4/C$9</f>
        <v>0</v>
      </c>
      <c r="H11" s="1" t="s">
        <v>38</v>
      </c>
    </row>
    <row r="12" spans="1:8" x14ac:dyDescent="0.25">
      <c r="A12" s="6" t="s">
        <v>44</v>
      </c>
      <c r="B12" s="7" t="s">
        <v>33</v>
      </c>
      <c r="C12" s="2">
        <f>C$9*C11</f>
        <v>72305.961366918797</v>
      </c>
      <c r="D12" s="1" t="s">
        <v>8</v>
      </c>
      <c r="E12" s="1" t="s">
        <v>34</v>
      </c>
      <c r="F12" s="1" t="s">
        <v>43</v>
      </c>
      <c r="G12" s="1">
        <f>SQRT(1+(2*G11*C12^2)/$C$4^2)</f>
        <v>1</v>
      </c>
    </row>
    <row r="13" spans="1:8" x14ac:dyDescent="0.25">
      <c r="A13" s="6" t="s">
        <v>44</v>
      </c>
      <c r="B13" s="7" t="s">
        <v>36</v>
      </c>
      <c r="C13" s="2">
        <f>(C12^2)/C$4</f>
        <v>13116.2726</v>
      </c>
      <c r="D13" s="1" t="s">
        <v>0</v>
      </c>
      <c r="E13" s="1" t="s">
        <v>9</v>
      </c>
    </row>
    <row r="14" spans="1:8" x14ac:dyDescent="0.25">
      <c r="C14" s="2"/>
    </row>
    <row r="15" spans="1:8" x14ac:dyDescent="0.25">
      <c r="B15" s="1" t="s">
        <v>40</v>
      </c>
      <c r="C15" s="8">
        <f>C11+0.2</f>
        <v>11.225382526270275</v>
      </c>
      <c r="D15" s="1" t="s">
        <v>7</v>
      </c>
      <c r="F15" s="1" t="s">
        <v>42</v>
      </c>
      <c r="G15" s="5">
        <f>(C16^2/(2*C$9^2))-C$4/C$9</f>
        <v>2.2250765052540444</v>
      </c>
    </row>
    <row r="16" spans="1:8" x14ac:dyDescent="0.25">
      <c r="B16" s="1" t="s">
        <v>39</v>
      </c>
      <c r="C16" s="2">
        <f>C$9*C15</f>
        <v>73617.58862691879</v>
      </c>
      <c r="D16" s="1" t="s">
        <v>8</v>
      </c>
      <c r="F16" s="1" t="s">
        <v>43</v>
      </c>
      <c r="G16" s="1">
        <f>SQRT(1+(2*G15*C16^2)/$C$4^2)</f>
        <v>1.0732179570322111</v>
      </c>
    </row>
    <row r="17" spans="2:5" x14ac:dyDescent="0.25">
      <c r="B17" s="1" t="s">
        <v>41</v>
      </c>
      <c r="C17" s="2">
        <f>(C16^2)/C$4</f>
        <v>13596.445941824784</v>
      </c>
      <c r="D17" s="1" t="s">
        <v>0</v>
      </c>
    </row>
    <row r="18" spans="2:5" x14ac:dyDescent="0.25">
      <c r="B18" s="1" t="s">
        <v>43</v>
      </c>
      <c r="C18" s="1">
        <f>G16</f>
        <v>1.0732179570322111</v>
      </c>
    </row>
    <row r="19" spans="2:5" x14ac:dyDescent="0.25">
      <c r="B19" s="1" t="s">
        <v>12</v>
      </c>
      <c r="C19" s="2">
        <f>C$5-C17</f>
        <v>911047.78405817517</v>
      </c>
    </row>
    <row r="21" spans="2:5" x14ac:dyDescent="0.25">
      <c r="B21" s="1" t="s">
        <v>10</v>
      </c>
      <c r="C21" s="1">
        <f>PI()-ACOS((C$5-C$17)/(C$18*C$5))</f>
        <v>2.7339951840716012</v>
      </c>
      <c r="D21" s="1" t="s">
        <v>13</v>
      </c>
      <c r="E21" s="2"/>
    </row>
    <row r="22" spans="2:5" x14ac:dyDescent="0.25">
      <c r="C22" s="1">
        <f>DEGREES(C21)</f>
        <v>156.64638525639538</v>
      </c>
      <c r="D22" s="1" t="s">
        <v>14</v>
      </c>
    </row>
    <row r="23" spans="2:5" x14ac:dyDescent="0.25">
      <c r="B23" s="1" t="s">
        <v>16</v>
      </c>
      <c r="C23" s="1">
        <f>-((C5-C17)/(C18*C5))</f>
        <v>-0.91807584607666604</v>
      </c>
    </row>
    <row r="24" spans="2:5" x14ac:dyDescent="0.25">
      <c r="B24" s="1" t="s">
        <v>15</v>
      </c>
      <c r="C24" s="9">
        <f>C$9*C$5*(1-C$23)</f>
        <v>11631102388.0478</v>
      </c>
    </row>
    <row r="25" spans="2:5" x14ac:dyDescent="0.25">
      <c r="B25" s="1" t="s">
        <v>17</v>
      </c>
      <c r="C25" s="2">
        <f>C5+C9</f>
        <v>931202.36629999999</v>
      </c>
    </row>
    <row r="26" spans="2:5" x14ac:dyDescent="0.25">
      <c r="B26" s="1" t="s">
        <v>18</v>
      </c>
      <c r="C26" s="9">
        <f>C$9*C$5*(1+C$23)</f>
        <v>496783390.649297</v>
      </c>
    </row>
    <row r="27" spans="2:5" x14ac:dyDescent="0.25">
      <c r="B27" s="1" t="s">
        <v>30</v>
      </c>
      <c r="C27" s="1">
        <f>1-(C5/C17)*(1-C23)</f>
        <v>-129.44127644574226</v>
      </c>
    </row>
    <row r="28" spans="2:5" x14ac:dyDescent="0.25">
      <c r="B28" s="1" t="s">
        <v>31</v>
      </c>
      <c r="C28" s="1">
        <f>(C5*C9)*(SIN(C21))/(SQRT(C4*C17))</f>
        <v>32652.195281661567</v>
      </c>
    </row>
    <row r="29" spans="2:5" x14ac:dyDescent="0.25">
      <c r="B29" s="1" t="s">
        <v>19</v>
      </c>
      <c r="C29" s="1">
        <f>C26*C24*C17</f>
        <v>7.8562147505692817E+22</v>
      </c>
    </row>
    <row r="30" spans="2:5" x14ac:dyDescent="0.25">
      <c r="B30" s="1" t="s">
        <v>20</v>
      </c>
      <c r="C30" s="1">
        <f>((2*C26-C25^2)*C17^2)+(2*C24*C25*C17)-C24^2</f>
        <v>-8.7710283490603827E+17</v>
      </c>
      <c r="E30" s="1" t="s">
        <v>29</v>
      </c>
    </row>
    <row r="31" spans="2:5" x14ac:dyDescent="0.25">
      <c r="B31" s="3" t="s">
        <v>32</v>
      </c>
      <c r="C31" s="4">
        <f>IF(C30=0,"na", C29/C30)</f>
        <v>-89570.053110259265</v>
      </c>
    </row>
    <row r="32" spans="2:5" x14ac:dyDescent="0.25">
      <c r="B32" s="3" t="s">
        <v>21</v>
      </c>
    </row>
    <row r="34" spans="2:4" x14ac:dyDescent="0.25">
      <c r="B34" s="3" t="s">
        <v>22</v>
      </c>
    </row>
    <row r="35" spans="2:4" x14ac:dyDescent="0.25">
      <c r="B35" s="1" t="s">
        <v>23</v>
      </c>
      <c r="C35" s="1">
        <f>SQRT((C5^2)+(C9^2)-(2*C5*C9*C23))</f>
        <v>930668.72743281792</v>
      </c>
    </row>
    <row r="36" spans="2:4" x14ac:dyDescent="0.25">
      <c r="B36" s="1" t="s">
        <v>24</v>
      </c>
      <c r="C36" s="1">
        <f>(C5+C9+C35)/2</f>
        <v>930935.54686640901</v>
      </c>
    </row>
    <row r="37" spans="2:4" x14ac:dyDescent="0.25">
      <c r="B37" s="1" t="s">
        <v>25</v>
      </c>
      <c r="C37" s="1">
        <f>(2/3)*SQRT((C36^3)/(2*C4))*(1-((C36-C35)/C36)^(3/2))</f>
        <v>670659.6356830342</v>
      </c>
      <c r="D37" s="1" t="s">
        <v>26</v>
      </c>
    </row>
    <row r="38" spans="2:4" x14ac:dyDescent="0.25">
      <c r="C38" s="1">
        <f>CONVERT(C37,"sec","day")</f>
        <v>7.7622643018869697</v>
      </c>
      <c r="D38" s="1" t="s">
        <v>27</v>
      </c>
    </row>
    <row r="39" spans="2:4" x14ac:dyDescent="0.25">
      <c r="B39" s="3" t="s">
        <v>28</v>
      </c>
    </row>
    <row r="40" spans="2:4" x14ac:dyDescent="0.25">
      <c r="B40" s="1" t="s">
        <v>45</v>
      </c>
      <c r="C40" s="4">
        <f>IF(C31="na","na",1+(C27-1)*(C9/C31))</f>
        <v>10.550643774031377</v>
      </c>
    </row>
    <row r="41" spans="2:4" x14ac:dyDescent="0.25">
      <c r="B41" s="1" t="s">
        <v>46</v>
      </c>
      <c r="C41" s="1">
        <f>ACOSH(C40)</f>
        <v>3.0470805991209615</v>
      </c>
    </row>
    <row r="42" spans="2:4" x14ac:dyDescent="0.25">
      <c r="C42" s="1">
        <f>C28+SQRT((-C31)^3/C4)*(SINH(C41)-C41)</f>
        <v>349233.37363988021</v>
      </c>
      <c r="D42" s="1" t="s">
        <v>26</v>
      </c>
    </row>
    <row r="43" spans="2:4" x14ac:dyDescent="0.25">
      <c r="C43" s="1">
        <f>CONVERT(C42,"sec","day")</f>
        <v>4.0420529356467618</v>
      </c>
      <c r="D43" s="1" t="s">
        <v>27</v>
      </c>
    </row>
  </sheetData>
  <pageMargins left="0.7" right="0.7" top="0.75" bottom="0.75" header="0.3" footer="0.3"/>
  <pageSetup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31E507-5F65-407D-8697-4019D180696F}">
  <sheetPr codeName="Sheet2"/>
  <dimension ref="A1:I66"/>
  <sheetViews>
    <sheetView tabSelected="1" topLeftCell="A37" workbookViewId="0">
      <selection activeCell="E48" sqref="E48"/>
    </sheetView>
  </sheetViews>
  <sheetFormatPr defaultRowHeight="12.75" x14ac:dyDescent="0.25"/>
  <cols>
    <col min="1" max="1" width="4.7109375" style="10" customWidth="1"/>
    <col min="2" max="2" width="16.7109375" style="10" customWidth="1"/>
    <col min="3" max="3" width="17.42578125" style="10" customWidth="1"/>
    <col min="4" max="5" width="16.7109375" style="10" customWidth="1"/>
    <col min="6" max="6" width="13.42578125" style="10" bestFit="1" customWidth="1"/>
    <col min="7" max="7" width="2.7109375" style="10" customWidth="1"/>
    <col min="8" max="8" width="18.28515625" style="10" bestFit="1" customWidth="1"/>
    <col min="9" max="9" width="11.7109375" style="10" customWidth="1"/>
    <col min="10" max="16384" width="9.140625" style="10"/>
  </cols>
  <sheetData>
    <row r="1" spans="1:6" x14ac:dyDescent="0.25">
      <c r="B1" s="10" t="s">
        <v>68</v>
      </c>
    </row>
    <row r="2" spans="1:6" x14ac:dyDescent="0.25">
      <c r="B2" s="10" t="s">
        <v>80</v>
      </c>
    </row>
    <row r="4" spans="1:6" x14ac:dyDescent="0.25">
      <c r="B4" s="20" t="s">
        <v>54</v>
      </c>
      <c r="C4" s="13" t="s">
        <v>56</v>
      </c>
      <c r="D4" s="13" t="s">
        <v>55</v>
      </c>
      <c r="E4" s="15" t="s">
        <v>59</v>
      </c>
    </row>
    <row r="5" spans="1:6" x14ac:dyDescent="0.25">
      <c r="B5" s="20" t="s">
        <v>61</v>
      </c>
      <c r="C5" s="12">
        <v>28376.380752314813</v>
      </c>
      <c r="D5" s="10">
        <v>2443394.8810000001</v>
      </c>
      <c r="E5" s="10">
        <v>-0.223138104</v>
      </c>
    </row>
    <row r="6" spans="1:6" x14ac:dyDescent="0.25">
      <c r="A6" s="13">
        <v>1</v>
      </c>
      <c r="B6" s="11">
        <v>1.0000010180000001</v>
      </c>
      <c r="C6" s="10">
        <v>0</v>
      </c>
      <c r="D6" s="11">
        <v>0</v>
      </c>
      <c r="E6" s="11">
        <v>0</v>
      </c>
      <c r="F6" s="10" t="s">
        <v>48</v>
      </c>
    </row>
    <row r="7" spans="1:6" x14ac:dyDescent="0.25">
      <c r="A7" s="13">
        <v>2</v>
      </c>
      <c r="B7" s="11">
        <v>1.670862E-2</v>
      </c>
      <c r="C7" s="11">
        <v>-4.2036999999999997E-5</v>
      </c>
      <c r="D7" s="11">
        <v>-1.236E-7</v>
      </c>
      <c r="E7" s="11">
        <v>3.9999999999999998E-11</v>
      </c>
      <c r="F7" s="10" t="s">
        <v>49</v>
      </c>
    </row>
    <row r="8" spans="1:6" x14ac:dyDescent="0.25">
      <c r="A8" s="13">
        <v>3</v>
      </c>
      <c r="B8" s="11">
        <v>0</v>
      </c>
      <c r="C8" s="11">
        <v>1.30546E-2</v>
      </c>
      <c r="D8" s="11">
        <v>-9.3100000000000006E-6</v>
      </c>
      <c r="E8" s="11">
        <v>-3.4E-8</v>
      </c>
      <c r="F8" s="10" t="s">
        <v>50</v>
      </c>
    </row>
    <row r="9" spans="1:6" x14ac:dyDescent="0.25">
      <c r="A9" s="13">
        <v>4</v>
      </c>
      <c r="B9" s="11">
        <v>174.87317400000001</v>
      </c>
      <c r="C9" s="11">
        <v>-0.24109079999999999</v>
      </c>
      <c r="D9" s="11">
        <v>4.0670000000000002E-5</v>
      </c>
      <c r="E9" s="11">
        <v>-1.327E-6</v>
      </c>
      <c r="F9" s="10" t="s">
        <v>51</v>
      </c>
    </row>
    <row r="10" spans="1:6" x14ac:dyDescent="0.25">
      <c r="A10" s="13">
        <v>5</v>
      </c>
      <c r="B10" s="11">
        <v>102.937348</v>
      </c>
      <c r="C10" s="11">
        <v>0.32255499999999998</v>
      </c>
      <c r="D10" s="11">
        <v>1.5025999999999999E-4</v>
      </c>
      <c r="E10" s="11">
        <v>4.7800000000000002E-7</v>
      </c>
      <c r="F10" s="10" t="s">
        <v>52</v>
      </c>
    </row>
    <row r="11" spans="1:6" x14ac:dyDescent="0.25">
      <c r="A11" s="13">
        <v>6</v>
      </c>
      <c r="B11" s="11">
        <v>100.466449</v>
      </c>
      <c r="C11" s="11">
        <v>35999.372851</v>
      </c>
      <c r="D11" s="11">
        <v>-5.6799999999999998E-6</v>
      </c>
      <c r="E11" s="11">
        <v>0</v>
      </c>
      <c r="F11" s="10" t="s">
        <v>53</v>
      </c>
    </row>
    <row r="13" spans="1:6" x14ac:dyDescent="0.25">
      <c r="B13" s="13" t="s">
        <v>62</v>
      </c>
      <c r="C13" s="13" t="s">
        <v>63</v>
      </c>
      <c r="D13" s="13" t="s">
        <v>64</v>
      </c>
      <c r="E13" s="13" t="s">
        <v>65</v>
      </c>
    </row>
    <row r="14" spans="1:6" x14ac:dyDescent="0.25">
      <c r="A14" s="13">
        <v>1</v>
      </c>
      <c r="B14" s="11">
        <f>B6</f>
        <v>1.0000010180000001</v>
      </c>
      <c r="C14" s="10">
        <f>C6*$E$5</f>
        <v>0</v>
      </c>
      <c r="D14" s="10">
        <f>D6*($E$5^2)</f>
        <v>0</v>
      </c>
      <c r="E14" s="10">
        <f>E6*($E$5^3)</f>
        <v>0</v>
      </c>
      <c r="F14" s="10" t="s">
        <v>48</v>
      </c>
    </row>
    <row r="15" spans="1:6" x14ac:dyDescent="0.25">
      <c r="A15" s="13">
        <v>2</v>
      </c>
      <c r="B15" s="11">
        <f t="shared" ref="B15:B19" si="0">B7</f>
        <v>1.670862E-2</v>
      </c>
      <c r="C15" s="10">
        <f>C7*$E$5</f>
        <v>9.3800564778479992E-6</v>
      </c>
      <c r="D15" s="10">
        <f>D7*($E$5^2)</f>
        <v>-6.1541198232499511E-9</v>
      </c>
      <c r="E15" s="10">
        <f>E7*($E$5^3)</f>
        <v>-4.4440732334912919E-13</v>
      </c>
      <c r="F15" s="10" t="s">
        <v>49</v>
      </c>
    </row>
    <row r="16" spans="1:6" x14ac:dyDescent="0.25">
      <c r="A16" s="13">
        <v>3</v>
      </c>
      <c r="B16" s="11">
        <f t="shared" si="0"/>
        <v>0</v>
      </c>
      <c r="C16" s="10">
        <f>C8*$E$5</f>
        <v>-2.9129786924783998E-3</v>
      </c>
      <c r="D16" s="10">
        <f>D8*($E$5^2)</f>
        <v>-4.6355061128201495E-7</v>
      </c>
      <c r="E16" s="10">
        <f>E8*($E$5^3)</f>
        <v>3.7774622484675983E-10</v>
      </c>
      <c r="F16" s="10" t="s">
        <v>50</v>
      </c>
    </row>
    <row r="17" spans="1:8" x14ac:dyDescent="0.25">
      <c r="A17" s="13">
        <v>4</v>
      </c>
      <c r="B17" s="11">
        <f t="shared" si="0"/>
        <v>174.87317400000001</v>
      </c>
      <c r="C17" s="10">
        <f>C9*$E$5</f>
        <v>5.3796544003843198E-2</v>
      </c>
      <c r="D17" s="10">
        <f>D9*($E$5^2)</f>
        <v>2.0249842492845917E-6</v>
      </c>
      <c r="E17" s="10">
        <f>E9*($E$5^3)</f>
        <v>1.4743212952107361E-8</v>
      </c>
      <c r="F17" s="10" t="s">
        <v>51</v>
      </c>
    </row>
    <row r="18" spans="1:8" x14ac:dyDescent="0.25">
      <c r="A18" s="13">
        <v>5</v>
      </c>
      <c r="B18" s="11">
        <f t="shared" si="0"/>
        <v>102.937348</v>
      </c>
      <c r="C18" s="10">
        <f>C10*$E$5</f>
        <v>-7.1974311135720004E-2</v>
      </c>
      <c r="D18" s="10">
        <f>D10*($E$5^2)</f>
        <v>7.4815375780059674E-6</v>
      </c>
      <c r="E18" s="10">
        <f>E10*($E$5^3)</f>
        <v>-5.3106675140220939E-9</v>
      </c>
      <c r="F18" s="10" t="s">
        <v>52</v>
      </c>
    </row>
    <row r="19" spans="1:8" x14ac:dyDescent="0.25">
      <c r="A19" s="13">
        <v>6</v>
      </c>
      <c r="B19" s="11">
        <f t="shared" si="0"/>
        <v>100.466449</v>
      </c>
      <c r="C19" s="10">
        <f>C11*$E$5</f>
        <v>-8032.8318031612143</v>
      </c>
      <c r="D19" s="10">
        <f>D11*($E$5^2)</f>
        <v>-2.8281068443414014E-7</v>
      </c>
      <c r="E19" s="10">
        <f>E11*($E$5^3)</f>
        <v>0</v>
      </c>
      <c r="F19" s="10" t="s">
        <v>53</v>
      </c>
    </row>
    <row r="20" spans="1:8" x14ac:dyDescent="0.25">
      <c r="A20" s="13"/>
      <c r="B20" s="11"/>
    </row>
    <row r="21" spans="1:8" x14ac:dyDescent="0.25">
      <c r="C21" s="13" t="s">
        <v>57</v>
      </c>
      <c r="D21" s="13" t="s">
        <v>58</v>
      </c>
      <c r="E21" s="13" t="s">
        <v>60</v>
      </c>
    </row>
    <row r="22" spans="1:8" x14ac:dyDescent="0.25">
      <c r="A22" s="13">
        <v>1</v>
      </c>
      <c r="C22" s="10">
        <f>SUM($B14:$E14)</f>
        <v>1.0000010180000001</v>
      </c>
      <c r="E22" s="18">
        <f>C22</f>
        <v>1.0000010180000001</v>
      </c>
      <c r="F22" s="10" t="s">
        <v>48</v>
      </c>
    </row>
    <row r="23" spans="1:8" x14ac:dyDescent="0.25">
      <c r="A23" s="13">
        <v>2</v>
      </c>
      <c r="C23" s="10">
        <f t="shared" ref="C23:C27" si="1">SUM($B15:$E15)</f>
        <v>1.6717993901913614E-2</v>
      </c>
      <c r="E23" s="18">
        <f>C23</f>
        <v>1.6717993901913614E-2</v>
      </c>
      <c r="F23" s="10" t="s">
        <v>49</v>
      </c>
    </row>
    <row r="24" spans="1:8" x14ac:dyDescent="0.25">
      <c r="A24" s="13">
        <v>3</v>
      </c>
      <c r="C24" s="11">
        <f>SUM($B16:$E16)</f>
        <v>-2.9134418653434567E-3</v>
      </c>
      <c r="D24" s="14">
        <f>MOD(C24,360)</f>
        <v>359.99708655813464</v>
      </c>
      <c r="E24" s="19">
        <f>D24</f>
        <v>359.99708655813464</v>
      </c>
      <c r="F24" s="10" t="s">
        <v>50</v>
      </c>
      <c r="G24" s="14"/>
      <c r="H24" s="14">
        <f>360-E24</f>
        <v>2.9134418653598004E-3</v>
      </c>
    </row>
    <row r="25" spans="1:8" x14ac:dyDescent="0.25">
      <c r="A25" s="13">
        <v>4</v>
      </c>
      <c r="C25" s="10">
        <f t="shared" si="1"/>
        <v>174.9269725837313</v>
      </c>
      <c r="D25" s="14">
        <f t="shared" ref="D25:D27" si="2">MOD(C25,360)</f>
        <v>174.9269725837313</v>
      </c>
      <c r="E25" s="19">
        <f t="shared" ref="E25:E27" si="3">D25</f>
        <v>174.9269725837313</v>
      </c>
      <c r="F25" s="10" t="s">
        <v>51</v>
      </c>
    </row>
    <row r="26" spans="1:8" x14ac:dyDescent="0.25">
      <c r="A26" s="13">
        <v>5</v>
      </c>
      <c r="C26" s="10">
        <f t="shared" si="1"/>
        <v>102.86538116509119</v>
      </c>
      <c r="D26" s="14">
        <f t="shared" si="2"/>
        <v>102.86538116509119</v>
      </c>
      <c r="E26" s="19">
        <f t="shared" si="3"/>
        <v>102.86538116509119</v>
      </c>
      <c r="F26" s="10" t="s">
        <v>52</v>
      </c>
    </row>
    <row r="27" spans="1:8" x14ac:dyDescent="0.25">
      <c r="A27" s="13">
        <v>6</v>
      </c>
      <c r="C27" s="10">
        <f t="shared" si="1"/>
        <v>-7932.3653544440258</v>
      </c>
      <c r="D27" s="14">
        <f t="shared" si="2"/>
        <v>347.6346455559742</v>
      </c>
      <c r="E27" s="19">
        <f t="shared" si="3"/>
        <v>347.6346455559742</v>
      </c>
      <c r="F27" s="10" t="s">
        <v>53</v>
      </c>
    </row>
    <row r="28" spans="1:8" x14ac:dyDescent="0.25">
      <c r="A28" s="20"/>
      <c r="B28" s="20" t="s">
        <v>77</v>
      </c>
      <c r="C28" s="20"/>
      <c r="D28" s="20"/>
      <c r="E28" s="20"/>
      <c r="F28" s="20"/>
      <c r="G28" s="20"/>
    </row>
    <row r="29" spans="1:8" x14ac:dyDescent="0.25">
      <c r="B29" s="20" t="s">
        <v>69</v>
      </c>
    </row>
    <row r="30" spans="1:8" x14ac:dyDescent="0.25">
      <c r="B30" s="20" t="s">
        <v>78</v>
      </c>
      <c r="E30" s="10" t="s">
        <v>67</v>
      </c>
    </row>
    <row r="31" spans="1:8" x14ac:dyDescent="0.25">
      <c r="B31" s="13" t="s">
        <v>62</v>
      </c>
      <c r="C31" s="13" t="s">
        <v>66</v>
      </c>
      <c r="D31" s="13" t="s">
        <v>63</v>
      </c>
      <c r="E31" s="13" t="s">
        <v>60</v>
      </c>
      <c r="H31" s="15" t="s">
        <v>73</v>
      </c>
    </row>
    <row r="32" spans="1:8" x14ac:dyDescent="0.25">
      <c r="A32" s="13">
        <v>1</v>
      </c>
      <c r="B32" s="10">
        <v>1.0000026099999999</v>
      </c>
      <c r="C32" s="10">
        <v>5.6200000000000004E-6</v>
      </c>
      <c r="D32" s="10">
        <f>C32*$E$5</f>
        <v>-1.25403614448E-6</v>
      </c>
      <c r="E32" s="18">
        <f>B32+D32</f>
        <v>1.0000013559638554</v>
      </c>
      <c r="F32" s="10" t="s">
        <v>48</v>
      </c>
      <c r="H32" s="21">
        <f>IF(E32=0,"na",(E22-E32)/E32)</f>
        <v>-3.3796339707963997E-7</v>
      </c>
    </row>
    <row r="33" spans="1:9" x14ac:dyDescent="0.25">
      <c r="A33" s="13">
        <v>2</v>
      </c>
      <c r="B33" s="10">
        <v>1.6711230000000001E-2</v>
      </c>
      <c r="C33" s="10">
        <v>-4.392E-5</v>
      </c>
      <c r="D33" s="10">
        <f>C33*$E$5</f>
        <v>9.8002255276799995E-6</v>
      </c>
      <c r="E33" s="18">
        <f t="shared" ref="E33" si="4">B33+D33</f>
        <v>1.6721030225527681E-2</v>
      </c>
      <c r="F33" s="10" t="s">
        <v>49</v>
      </c>
      <c r="H33" s="21">
        <f>IF(E33=0,"na",(E23-E33)/E33)</f>
        <v>-1.8158711353993015E-4</v>
      </c>
    </row>
    <row r="34" spans="1:9" x14ac:dyDescent="0.25">
      <c r="A34" s="13">
        <v>3</v>
      </c>
      <c r="B34" s="10">
        <v>-1.5310000000000001E-5</v>
      </c>
      <c r="C34" s="10">
        <v>-1.294668E-2</v>
      </c>
      <c r="D34" s="10">
        <f>C34*$E$5</f>
        <v>2.8888976282947201E-3</v>
      </c>
      <c r="E34" s="18">
        <f>MOD(B34+D34,360)</f>
        <v>2.87358762829472E-3</v>
      </c>
      <c r="F34" s="10" t="s">
        <v>50</v>
      </c>
      <c r="H34" s="21">
        <f>IF(E34=0,"na",((360-E24)-E34)/E34)</f>
        <v>1.3869156685063829E-2</v>
      </c>
    </row>
    <row r="35" spans="1:9" x14ac:dyDescent="0.25">
      <c r="A35" s="13">
        <v>4</v>
      </c>
      <c r="B35" s="10">
        <v>100.46457166</v>
      </c>
      <c r="C35" s="10">
        <v>35999.372449809998</v>
      </c>
      <c r="D35" s="10">
        <f>C35*$E$5</f>
        <v>-8032.8317136404385</v>
      </c>
      <c r="E35" s="18">
        <f t="shared" ref="E35:E37" si="5">MOD(B35+D35,360)</f>
        <v>347.63285801956135</v>
      </c>
      <c r="F35" s="17" t="s">
        <v>53</v>
      </c>
      <c r="H35" s="21">
        <f>IF(E35=0,"na", (E27-E35)/E35)</f>
        <v>5.142023751816873E-6</v>
      </c>
    </row>
    <row r="36" spans="1:9" x14ac:dyDescent="0.25">
      <c r="A36" s="13">
        <v>5</v>
      </c>
      <c r="B36" s="10">
        <v>102.93768193</v>
      </c>
      <c r="C36" s="10">
        <v>0.32327363999999997</v>
      </c>
      <c r="D36" s="10">
        <f>C36*$E$5</f>
        <v>-7.2134667102778549E-2</v>
      </c>
      <c r="E36" s="18">
        <f t="shared" si="5"/>
        <v>102.86554726289722</v>
      </c>
      <c r="F36" s="10" t="s">
        <v>52</v>
      </c>
      <c r="H36" s="21">
        <f>IF(E36=0,"na",(E26-E36)/E36)</f>
        <v>-1.6147078438765312E-6</v>
      </c>
    </row>
    <row r="37" spans="1:9" x14ac:dyDescent="0.25">
      <c r="A37" s="13">
        <v>6</v>
      </c>
      <c r="B37" s="10">
        <v>0</v>
      </c>
      <c r="C37" s="10">
        <v>0</v>
      </c>
      <c r="D37" s="10">
        <f>C37*$E$5</f>
        <v>0</v>
      </c>
      <c r="E37" s="18">
        <f t="shared" si="5"/>
        <v>0</v>
      </c>
      <c r="F37" s="16" t="s">
        <v>51</v>
      </c>
      <c r="H37" s="21" t="str">
        <f>IF(E37=0,"na",(E25-E37)/E37)</f>
        <v>na</v>
      </c>
    </row>
    <row r="38" spans="1:9" x14ac:dyDescent="0.25">
      <c r="A38" s="13"/>
      <c r="E38" s="20" t="s">
        <v>74</v>
      </c>
      <c r="F38" s="23"/>
      <c r="G38" s="20"/>
      <c r="H38" s="24"/>
      <c r="I38" s="20"/>
    </row>
    <row r="39" spans="1:9" x14ac:dyDescent="0.25">
      <c r="A39" s="13"/>
      <c r="E39" s="20" t="s">
        <v>72</v>
      </c>
      <c r="F39" s="23"/>
      <c r="G39" s="20"/>
      <c r="H39" s="24"/>
      <c r="I39" s="20"/>
    </row>
    <row r="40" spans="1:9" x14ac:dyDescent="0.25">
      <c r="A40" s="13"/>
      <c r="E40" s="25">
        <v>1.0004412571452299</v>
      </c>
      <c r="F40" s="20" t="s">
        <v>48</v>
      </c>
      <c r="G40" s="20"/>
      <c r="H40" s="24"/>
      <c r="I40" s="20"/>
    </row>
    <row r="41" spans="1:9" x14ac:dyDescent="0.25">
      <c r="A41" s="13"/>
      <c r="E41" s="26">
        <v>1.6212204050503401E-2</v>
      </c>
      <c r="F41" s="20" t="s">
        <v>49</v>
      </c>
      <c r="G41" s="20"/>
      <c r="H41" s="24"/>
      <c r="I41" s="20"/>
    </row>
    <row r="42" spans="1:9" x14ac:dyDescent="0.25">
      <c r="A42" s="13"/>
      <c r="E42" s="27">
        <v>23.441978159762801</v>
      </c>
      <c r="F42" s="20" t="s">
        <v>50</v>
      </c>
      <c r="G42" s="20"/>
      <c r="H42" s="24" t="s">
        <v>75</v>
      </c>
      <c r="I42" s="20"/>
    </row>
    <row r="43" spans="1:9" x14ac:dyDescent="0.25">
      <c r="A43" s="13"/>
      <c r="E43" s="20"/>
      <c r="F43" s="28" t="s">
        <v>53</v>
      </c>
      <c r="G43" s="20"/>
      <c r="H43" s="24"/>
      <c r="I43" s="20"/>
    </row>
    <row r="44" spans="1:9" x14ac:dyDescent="0.25">
      <c r="A44" s="13"/>
      <c r="E44" s="20"/>
      <c r="F44" s="20" t="s">
        <v>52</v>
      </c>
      <c r="G44" s="20"/>
      <c r="H44" s="24" t="s">
        <v>70</v>
      </c>
      <c r="I44" s="27">
        <v>101.992859158361</v>
      </c>
    </row>
    <row r="45" spans="1:9" x14ac:dyDescent="0.25">
      <c r="A45" s="13"/>
      <c r="E45" s="27">
        <v>359.99921574214801</v>
      </c>
      <c r="F45" s="23" t="s">
        <v>51</v>
      </c>
      <c r="G45" s="20"/>
      <c r="H45" s="24" t="s">
        <v>71</v>
      </c>
      <c r="I45" s="20"/>
    </row>
    <row r="46" spans="1:9" s="30" customFormat="1" x14ac:dyDescent="0.25">
      <c r="A46" s="29"/>
      <c r="E46" s="31"/>
      <c r="F46" s="32"/>
      <c r="H46" s="22"/>
    </row>
    <row r="47" spans="1:9" s="30" customFormat="1" x14ac:dyDescent="0.25">
      <c r="A47" s="29"/>
      <c r="C47" s="13" t="s">
        <v>56</v>
      </c>
      <c r="D47" s="13" t="s">
        <v>55</v>
      </c>
      <c r="E47" s="15" t="s">
        <v>59</v>
      </c>
      <c r="F47" s="32"/>
      <c r="H47" s="22"/>
    </row>
    <row r="48" spans="1:9" x14ac:dyDescent="0.25">
      <c r="A48" s="13"/>
      <c r="B48" s="20" t="s">
        <v>79</v>
      </c>
      <c r="C48" s="12">
        <f>C5</f>
        <v>28376.380752314813</v>
      </c>
      <c r="D48" s="10">
        <f t="shared" ref="D48:E48" si="6">D5</f>
        <v>2443394.8810000001</v>
      </c>
      <c r="E48" s="10">
        <f t="shared" si="6"/>
        <v>-0.223138104</v>
      </c>
      <c r="F48" s="16"/>
      <c r="H48" s="22"/>
    </row>
    <row r="49" spans="1:7" x14ac:dyDescent="0.25">
      <c r="B49" s="13" t="s">
        <v>62</v>
      </c>
      <c r="C49" s="13" t="s">
        <v>66</v>
      </c>
      <c r="D49" s="13" t="s">
        <v>63</v>
      </c>
      <c r="E49" s="13" t="s">
        <v>60</v>
      </c>
    </row>
    <row r="50" spans="1:7" x14ac:dyDescent="0.25">
      <c r="A50" s="13">
        <v>1</v>
      </c>
      <c r="B50" s="10">
        <v>5.2028869999999996</v>
      </c>
      <c r="C50" s="10">
        <v>-1.1607000000000001E-4</v>
      </c>
      <c r="D50" s="10">
        <f>C50*$E$48</f>
        <v>2.5899639731280002E-5</v>
      </c>
      <c r="E50" s="10">
        <f t="shared" ref="E50:E51" si="7">B50+D50</f>
        <v>5.2029128996397311</v>
      </c>
      <c r="F50" s="10" t="s">
        <v>48</v>
      </c>
    </row>
    <row r="51" spans="1:7" x14ac:dyDescent="0.25">
      <c r="A51" s="13">
        <v>2</v>
      </c>
      <c r="B51" s="10">
        <v>4.8386239999999997E-2</v>
      </c>
      <c r="C51" s="10">
        <v>-1.3253000000000001E-4</v>
      </c>
      <c r="D51" s="10">
        <f t="shared" ref="D51:D55" si="8">C51*$E$48</f>
        <v>2.9572492923120003E-5</v>
      </c>
      <c r="E51" s="10">
        <f t="shared" si="7"/>
        <v>4.8415812492923115E-2</v>
      </c>
      <c r="F51" s="10" t="s">
        <v>49</v>
      </c>
    </row>
    <row r="52" spans="1:7" x14ac:dyDescent="0.25">
      <c r="A52" s="13">
        <v>3</v>
      </c>
      <c r="B52" s="10">
        <v>1.3043969500000001</v>
      </c>
      <c r="C52" s="10">
        <v>-1.8371399999999999E-3</v>
      </c>
      <c r="D52" s="10">
        <f t="shared" si="8"/>
        <v>4.0993593638255998E-4</v>
      </c>
      <c r="E52" s="10">
        <f>MOD(B52+D52,360)</f>
        <v>1.3048068859363826</v>
      </c>
      <c r="F52" s="10" t="s">
        <v>50</v>
      </c>
    </row>
    <row r="53" spans="1:7" x14ac:dyDescent="0.25">
      <c r="A53" s="13">
        <v>4</v>
      </c>
      <c r="B53" s="10">
        <v>34.396440509999998</v>
      </c>
      <c r="C53" s="10">
        <v>3034.7461277500001</v>
      </c>
      <c r="D53" s="10">
        <f t="shared" si="8"/>
        <v>-677.1674970674768</v>
      </c>
      <c r="E53" s="10">
        <f t="shared" ref="E53:E55" si="9">MOD(B53+D53,360)</f>
        <v>77.228943442523246</v>
      </c>
      <c r="F53" s="17" t="s">
        <v>53</v>
      </c>
    </row>
    <row r="54" spans="1:7" x14ac:dyDescent="0.25">
      <c r="A54" s="13">
        <v>5</v>
      </c>
      <c r="B54" s="10">
        <v>14.728479829999999</v>
      </c>
      <c r="C54" s="10">
        <v>0.21252668</v>
      </c>
      <c r="D54" s="10">
        <f t="shared" si="8"/>
        <v>-4.7422800424614719E-2</v>
      </c>
      <c r="E54" s="10">
        <f t="shared" si="9"/>
        <v>14.681057029575385</v>
      </c>
      <c r="F54" s="10" t="s">
        <v>52</v>
      </c>
    </row>
    <row r="55" spans="1:7" x14ac:dyDescent="0.25">
      <c r="A55" s="13">
        <v>6</v>
      </c>
      <c r="B55" s="10">
        <v>100.47390909000001</v>
      </c>
      <c r="C55" s="10">
        <v>0.20469106000000001</v>
      </c>
      <c r="D55" s="10">
        <f t="shared" si="8"/>
        <v>-4.5674375034150241E-2</v>
      </c>
      <c r="E55" s="10">
        <f t="shared" si="9"/>
        <v>100.42823471496585</v>
      </c>
      <c r="F55" s="16" t="s">
        <v>51</v>
      </c>
    </row>
    <row r="56" spans="1:7" x14ac:dyDescent="0.25">
      <c r="A56" s="20"/>
      <c r="B56" s="20"/>
      <c r="C56" s="20"/>
      <c r="D56" s="20"/>
      <c r="E56" s="20"/>
      <c r="F56" s="20"/>
      <c r="G56" s="20"/>
    </row>
    <row r="58" spans="1:7" x14ac:dyDescent="0.25">
      <c r="C58" s="13" t="s">
        <v>56</v>
      </c>
      <c r="D58" s="13" t="s">
        <v>55</v>
      </c>
      <c r="E58" s="15" t="s">
        <v>59</v>
      </c>
    </row>
    <row r="59" spans="1:7" x14ac:dyDescent="0.25">
      <c r="B59" s="20" t="s">
        <v>79</v>
      </c>
      <c r="C59" s="12">
        <v>34474.333333333336</v>
      </c>
      <c r="D59" s="10">
        <v>2449493.3330000001</v>
      </c>
      <c r="E59" s="10">
        <v>-5.6171571980000001E-2</v>
      </c>
    </row>
    <row r="60" spans="1:7" x14ac:dyDescent="0.25">
      <c r="B60" s="13" t="s">
        <v>62</v>
      </c>
      <c r="C60" s="13" t="s">
        <v>66</v>
      </c>
      <c r="D60" s="13" t="s">
        <v>63</v>
      </c>
      <c r="E60" s="13" t="s">
        <v>60</v>
      </c>
    </row>
    <row r="61" spans="1:7" x14ac:dyDescent="0.25">
      <c r="A61" s="13">
        <v>1</v>
      </c>
      <c r="B61" s="10">
        <f>B50</f>
        <v>5.2028869999999996</v>
      </c>
      <c r="C61" s="10">
        <f>C50</f>
        <v>-1.1607000000000001E-4</v>
      </c>
      <c r="D61" s="10">
        <f>C61*$E$59</f>
        <v>6.5198343597186004E-6</v>
      </c>
      <c r="E61" s="18">
        <f>B61+D61</f>
        <v>5.2028935198343591</v>
      </c>
      <c r="F61" s="10" t="s">
        <v>48</v>
      </c>
    </row>
    <row r="62" spans="1:7" x14ac:dyDescent="0.25">
      <c r="A62" s="13">
        <v>2</v>
      </c>
      <c r="B62" s="10">
        <f t="shared" ref="B62:C66" si="10">B51</f>
        <v>4.8386239999999997E-2</v>
      </c>
      <c r="C62" s="10">
        <f t="shared" si="10"/>
        <v>-1.3253000000000001E-4</v>
      </c>
      <c r="D62" s="10">
        <f t="shared" ref="D62:D66" si="11">C62*$E$59</f>
        <v>7.4444184345094005E-6</v>
      </c>
      <c r="E62" s="18">
        <f t="shared" ref="E62:E66" si="12">B62+D62</f>
        <v>4.8393684418434509E-2</v>
      </c>
      <c r="F62" s="10" t="s">
        <v>49</v>
      </c>
    </row>
    <row r="63" spans="1:7" x14ac:dyDescent="0.25">
      <c r="A63" s="13">
        <v>3</v>
      </c>
      <c r="B63" s="10">
        <f t="shared" si="10"/>
        <v>1.3043969500000001</v>
      </c>
      <c r="C63" s="10">
        <f t="shared" si="10"/>
        <v>-1.8371399999999999E-3</v>
      </c>
      <c r="D63" s="10">
        <f t="shared" si="11"/>
        <v>1.031950417473372E-4</v>
      </c>
      <c r="E63" s="18">
        <f t="shared" si="12"/>
        <v>1.3045001450417475</v>
      </c>
      <c r="F63" s="10" t="s">
        <v>50</v>
      </c>
    </row>
    <row r="64" spans="1:7" x14ac:dyDescent="0.25">
      <c r="A64" s="13">
        <v>4</v>
      </c>
      <c r="B64" s="10">
        <f t="shared" si="10"/>
        <v>34.396440509999998</v>
      </c>
      <c r="C64" s="10">
        <f t="shared" si="10"/>
        <v>3034.7461277500001</v>
      </c>
      <c r="D64" s="10">
        <f t="shared" si="11"/>
        <v>-170.46646055593541</v>
      </c>
      <c r="E64" s="18">
        <f t="shared" si="12"/>
        <v>-136.07002004593542</v>
      </c>
      <c r="F64" s="10" t="s">
        <v>51</v>
      </c>
    </row>
    <row r="65" spans="1:6" x14ac:dyDescent="0.25">
      <c r="A65" s="13">
        <v>5</v>
      </c>
      <c r="B65" s="10">
        <f t="shared" si="10"/>
        <v>14.728479829999999</v>
      </c>
      <c r="C65" s="10">
        <f t="shared" si="10"/>
        <v>0.21252668</v>
      </c>
      <c r="D65" s="10">
        <f t="shared" si="11"/>
        <v>-1.1937957703290427E-2</v>
      </c>
      <c r="E65" s="18">
        <f t="shared" si="12"/>
        <v>14.716541872296709</v>
      </c>
      <c r="F65" s="10" t="s">
        <v>52</v>
      </c>
    </row>
    <row r="66" spans="1:6" x14ac:dyDescent="0.25">
      <c r="A66" s="13">
        <v>6</v>
      </c>
      <c r="B66" s="10">
        <f t="shared" si="10"/>
        <v>100.47390909000001</v>
      </c>
      <c r="C66" s="10">
        <f t="shared" si="10"/>
        <v>0.20469106000000001</v>
      </c>
      <c r="D66" s="10">
        <f t="shared" si="11"/>
        <v>-1.1497818610452499E-2</v>
      </c>
      <c r="E66" s="18">
        <f t="shared" si="12"/>
        <v>100.46241127138956</v>
      </c>
      <c r="F66" s="10" t="s">
        <v>53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SOI</vt:lpstr>
      <vt:lpstr>ephem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Jeff Belue</dc:creator>
  <cp:lastModifiedBy>Jeff Belue</cp:lastModifiedBy>
  <dcterms:created xsi:type="dcterms:W3CDTF">2024-10-13T21:57:34Z</dcterms:created>
  <dcterms:modified xsi:type="dcterms:W3CDTF">2024-10-21T19:16:44Z</dcterms:modified>
</cp:coreProperties>
</file>